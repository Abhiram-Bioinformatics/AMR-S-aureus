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tabRatio="538"/>
  </bookViews>
  <sheets>
    <sheet name="Supplementary_Index" sheetId="1" r:id="rId1"/>
    <sheet name="S1A_Genomic_Metadata" sheetId="2" r:id="rId2"/>
    <sheet name="S1B_RNAseq_Metadata" sheetId="3" r:id="rId3"/>
    <sheet name="S2_QUAST_Statistics" sheetId="4" r:id="rId4"/>
    <sheet name="S3A_AMR_Gene_Prevalence" sheetId="6" r:id="rId5"/>
    <sheet name="S3B_Category_Frequencies" sheetId="7" r:id="rId6"/>
    <sheet name="S4A_GSE40864" sheetId="8" r:id="rId7"/>
    <sheet name="S4B_GSE121797" sheetId="9" r:id="rId8"/>
    <sheet name="S4C_PRJNA1358579" sheetId="10" r:id="rId9"/>
    <sheet name="S5A_AMR_Presence_Absence" sheetId="11" r:id="rId10"/>
    <sheet name="S5B_AMR_Pangenome" sheetId="12" r:id="rId11"/>
    <sheet name="S6A_IslandViewer" sheetId="13" r:id="rId12"/>
    <sheet name="S6B_SCCmecFinder" sheetId="14" r:id="rId13"/>
    <sheet name="S6C_MobileElementFinder" sheetId="15" r:id="rId14"/>
    <sheet name="S6D_Combined_Context" sheetId="16" r:id="rId15"/>
    <sheet name="S7_InterPro_Summary" sheetId="17" r:id="rId16"/>
    <sheet name="S8A_GO_Enrichment" sheetId="18" r:id="rId17"/>
    <sheet name="S8B_Enriched_Gene_Mapping" sheetId="19" r:id="rId18"/>
    <sheet name="S9_Integrated_AMR_Evidence" sheetId="20" r:id="rId19"/>
  </sheets>
  <calcPr calcId="0"/>
</workbook>
</file>

<file path=xl/sharedStrings.xml><?xml version="1.0" encoding="utf-8"?>
<sst xmlns="http://schemas.openxmlformats.org/spreadsheetml/2006/main" count="2162" uniqueCount="1165">
  <si>
    <t>Supplementary Data — Staphylococcus aureus AMR Project</t>
  </si>
  <si>
    <t>Supplementary Tables S1–S9 accompanying the final report. Each worksheet contains the underlying data or finalized summary for the corresponding analysis.</t>
  </si>
  <si>
    <t>Table</t>
  </si>
  <si>
    <t>Worksheet</t>
  </si>
  <si>
    <t>Title / content</t>
  </si>
  <si>
    <t>Analysis stage</t>
  </si>
  <si>
    <t>Records</t>
  </si>
  <si>
    <t>S1A</t>
  </si>
  <si>
    <t>S1A_Genomic_Metadata</t>
  </si>
  <si>
    <t>Metadata for 16 genomic datasets</t>
  </si>
  <si>
    <t>Data collection</t>
  </si>
  <si>
    <t>S1B</t>
  </si>
  <si>
    <t>S1B_RNAseq_Metadata</t>
  </si>
  <si>
    <t>Metadata for 20 RNA-seq samples</t>
  </si>
  <si>
    <t>S2</t>
  </si>
  <si>
    <t>S2_QUAST_Statistics</t>
  </si>
  <si>
    <t>QUAST assembly statistics for three SRA-derived genomes</t>
  </si>
  <si>
    <t>Genome assembly</t>
  </si>
  <si>
    <t>S3A</t>
  </si>
  <si>
    <t>S3A_Cleaned_RGI_Results</t>
  </si>
  <si>
    <t>Cleaned CARD-RGI results across 16 genomes</t>
  </si>
  <si>
    <t>AMR identification</t>
  </si>
  <si>
    <t>S3B</t>
  </si>
  <si>
    <t>S3B_AMR_Gene_Prevalence</t>
  </si>
  <si>
    <t>Genome-level AMR gene prevalence</t>
  </si>
  <si>
    <t>S3C</t>
  </si>
  <si>
    <t>S3C_Category_Frequencies</t>
  </si>
  <si>
    <t>Resistance-mechanism and drug-class frequencies</t>
  </si>
  <si>
    <t>AMR classification</t>
  </si>
  <si>
    <t>S4A</t>
  </si>
  <si>
    <t>S4A_GSE40864</t>
  </si>
  <si>
    <t>Significant DEGs in GSE40864</t>
  </si>
  <si>
    <t>RNA-seq</t>
  </si>
  <si>
    <t>S4B</t>
  </si>
  <si>
    <t>S4B_GSE121797</t>
  </si>
  <si>
    <t>Significant DEG in GSE121797</t>
  </si>
  <si>
    <t>S4C</t>
  </si>
  <si>
    <t>S4C_PRJNA1358579</t>
  </si>
  <si>
    <t>Significant DEGs in PRJNA1358579</t>
  </si>
  <si>
    <t>S5A</t>
  </si>
  <si>
    <t>S5A_AMR_Presence_Absence</t>
  </si>
  <si>
    <t>AMR gene-family presence–absence matrix</t>
  </si>
  <si>
    <t>Comparative genomics</t>
  </si>
  <si>
    <t>S5B</t>
  </si>
  <si>
    <t>S5B_AMR_Pangenome</t>
  </si>
  <si>
    <t>AMR pangenome classification</t>
  </si>
  <si>
    <t>S6A</t>
  </si>
  <si>
    <t>S6A_IslandViewer</t>
  </si>
  <si>
    <t>IslandViewer summary</t>
  </si>
  <si>
    <t>Genomic context</t>
  </si>
  <si>
    <t>S6B</t>
  </si>
  <si>
    <t>S6B_SCCmecFinder</t>
  </si>
  <si>
    <t>SCCmecFinder summary</t>
  </si>
  <si>
    <t>S6C</t>
  </si>
  <si>
    <t>S6C_MobileElementFinder</t>
  </si>
  <si>
    <t>MobileElementFinder summary</t>
  </si>
  <si>
    <t>S6D</t>
  </si>
  <si>
    <t>S6D_Combined_Context</t>
  </si>
  <si>
    <t>Combined genomic-context summary</t>
  </si>
  <si>
    <t>S7</t>
  </si>
  <si>
    <t>S7_InterPro_Summary</t>
  </si>
  <si>
    <t>InterProScan summary for seven AMR proteins</t>
  </si>
  <si>
    <t>Protein annotation</t>
  </si>
  <si>
    <t>S8A</t>
  </si>
  <si>
    <t>S8A_GO_Enrichment</t>
  </si>
  <si>
    <t>GO enrichment results for PRJNA1358579</t>
  </si>
  <si>
    <t>Functional enrichment</t>
  </si>
  <si>
    <t>S8B</t>
  </si>
  <si>
    <t>S8B_Enriched_Gene_Mapping</t>
  </si>
  <si>
    <t>Gene mapping for enriched GO terms</t>
  </si>
  <si>
    <t>S9</t>
  </si>
  <si>
    <t>S9_Integrated_AMR_Evidence</t>
  </si>
  <si>
    <t>Integrated AMR evidence for seven genes</t>
  </si>
  <si>
    <t>Evidence integration</t>
  </si>
  <si>
    <t>Notes</t>
  </si>
  <si>
    <t>Master_Data_Notes</t>
  </si>
  <si>
    <t>Consolidated data-quality and interpretation notes</t>
  </si>
  <si>
    <t>Documentation</t>
  </si>
  <si>
    <t>Supplementary Table S1A. Genomic dataset metadata</t>
  </si>
  <si>
    <t>Dataset category</t>
  </si>
  <si>
    <t>Genome/sample identifier</t>
  </si>
  <si>
    <t>Run accession</t>
  </si>
  <si>
    <t>BV-BRC genome ID</t>
  </si>
  <si>
    <t>BioProject accession</t>
  </si>
  <si>
    <t>BioSample accession</t>
  </si>
  <si>
    <t>Assembly accession</t>
  </si>
  <si>
    <t>Organism</t>
  </si>
  <si>
    <t>Strain/isolate</t>
  </si>
  <si>
    <t>Isolation source</t>
  </si>
  <si>
    <t>Host</t>
  </si>
  <si>
    <t>Host health/clinical information</t>
  </si>
  <si>
    <t>Collection date/year</t>
  </si>
  <si>
    <t>Country</t>
  </si>
  <si>
    <t>Geographic region</t>
  </si>
  <si>
    <t>Sequencing platform</t>
  </si>
  <si>
    <t>Instrument</t>
  </si>
  <si>
    <t>Library layout</t>
  </si>
  <si>
    <t>Genome status</t>
  </si>
  <si>
    <t>Assembly method</t>
  </si>
  <si>
    <t>Genome size (bp)</t>
  </si>
  <si>
    <t>Number of contigs</t>
  </si>
  <si>
    <t>GC content (%)</t>
  </si>
  <si>
    <t>MLST</t>
  </si>
  <si>
    <t>Role in study</t>
  </si>
  <si>
    <t>SRA-derived assembly</t>
  </si>
  <si>
    <t>ERR13347068</t>
  </si>
  <si>
    <t>NA</t>
  </si>
  <si>
    <t>PRJEB77209</t>
  </si>
  <si>
    <t>SAMEA115805011</t>
  </si>
  <si>
    <t>Staphylococcus aureus</t>
  </si>
  <si>
    <t>gms2019sa_e203</t>
  </si>
  <si>
    <t>2018</t>
  </si>
  <si>
    <t>Sweden</t>
  </si>
  <si>
    <t>Europe</t>
  </si>
  <si>
    <t>ILLUMINA</t>
  </si>
  <si>
    <t>NextSeq 500</t>
  </si>
  <si>
    <t>PAIRED</t>
  </si>
  <si>
    <t>Draft assembly generated in this study</t>
  </si>
  <si>
    <t>SPAdes --isolate</t>
  </si>
  <si>
    <t>Primary genome assembled from raw sequencing reads</t>
  </si>
  <si>
    <t>ERR12712640</t>
  </si>
  <si>
    <t>PRJEB72696</t>
  </si>
  <si>
    <t>SAMEA115349498</t>
  </si>
  <si>
    <t>STAAUR54</t>
  </si>
  <si>
    <t>blood culture</t>
  </si>
  <si>
    <t>Homo sapiens</t>
  </si>
  <si>
    <t>not collected</t>
  </si>
  <si>
    <t>2018-03-10</t>
  </si>
  <si>
    <t>France</t>
  </si>
  <si>
    <t>NextSeq 550</t>
  </si>
  <si>
    <t>ERR12712641</t>
  </si>
  <si>
    <t>SAMEA115349499</t>
  </si>
  <si>
    <t>STAAUR55</t>
  </si>
  <si>
    <t>2018-03-17</t>
  </si>
  <si>
    <t>BV-BRC comparative genome</t>
  </si>
  <si>
    <t>AUH_SA_2023_6</t>
  </si>
  <si>
    <t>1280.47104</t>
  </si>
  <si>
    <t>PRJNA961647</t>
  </si>
  <si>
    <t>SAMN34360577</t>
  </si>
  <si>
    <t>GCA_030439855.1</t>
  </si>
  <si>
    <t>The strain was isolated from blood culture</t>
  </si>
  <si>
    <t>Human</t>
  </si>
  <si>
    <t>Human bacteremia with S. aureus (MRSA)</t>
  </si>
  <si>
    <t>2023</t>
  </si>
  <si>
    <t>Denmark</t>
  </si>
  <si>
    <t>Oxford Nanopore MinION</t>
  </si>
  <si>
    <t>Complete</t>
  </si>
  <si>
    <t>Flye v. 2.9.2</t>
  </si>
  <si>
    <t>2793758</t>
  </si>
  <si>
    <t>1</t>
  </si>
  <si>
    <t>32.891827</t>
  </si>
  <si>
    <t>MLST.Staphylococcus_aureus.6</t>
  </si>
  <si>
    <t>Comparative genome obtained as a pre-assembled sequence</t>
  </si>
  <si>
    <t>KWT 2020-26218</t>
  </si>
  <si>
    <t>1280.52338</t>
  </si>
  <si>
    <t>PRJNA1077908</t>
  </si>
  <si>
    <t>SAMN39984696</t>
  </si>
  <si>
    <t>GCA_037039295.1</t>
  </si>
  <si>
    <t>Medical sample</t>
  </si>
  <si>
    <t>2020</t>
  </si>
  <si>
    <t>Kuwait</t>
  </si>
  <si>
    <t>Asia</t>
  </si>
  <si>
    <t>Flye v. 2.9</t>
  </si>
  <si>
    <t>3159439</t>
  </si>
  <si>
    <t>3</t>
  </si>
  <si>
    <t>32.8057</t>
  </si>
  <si>
    <t>MLST.saureus.239</t>
  </si>
  <si>
    <t>IPD029-1</t>
  </si>
  <si>
    <t>1280.53242</t>
  </si>
  <si>
    <t>PRJNA918981</t>
  </si>
  <si>
    <t>SAMN32614082</t>
  </si>
  <si>
    <t>pus fluid</t>
  </si>
  <si>
    <t>Surgical site infection</t>
  </si>
  <si>
    <t>24-06-2021</t>
  </si>
  <si>
    <t>Kenya</t>
  </si>
  <si>
    <t>Africa</t>
  </si>
  <si>
    <t>Illumina HiSeq</t>
  </si>
  <si>
    <t>SPAdes v. OCTOBER-2021</t>
  </si>
  <si>
    <t>2756473</t>
  </si>
  <si>
    <t>32.89682</t>
  </si>
  <si>
    <t>MLST.saureus.8</t>
  </si>
  <si>
    <t>H2_22S00635-1</t>
  </si>
  <si>
    <t>1280.56449</t>
  </si>
  <si>
    <t>PRJEB75271</t>
  </si>
  <si>
    <t>SAMEA115526707</t>
  </si>
  <si>
    <t>human</t>
  </si>
  <si>
    <t>2022</t>
  </si>
  <si>
    <t>Netherlands</t>
  </si>
  <si>
    <t>2859893</t>
  </si>
  <si>
    <t>32.993088</t>
  </si>
  <si>
    <t>MLST.Staphylococcus_aureus.398</t>
  </si>
  <si>
    <t>614E</t>
  </si>
  <si>
    <t>1280.57422</t>
  </si>
  <si>
    <t>PRJNA990680</t>
  </si>
  <si>
    <t>SAMN36272284</t>
  </si>
  <si>
    <t>nasal</t>
  </si>
  <si>
    <t>01-11-2022</t>
  </si>
  <si>
    <t>Bulgaria</t>
  </si>
  <si>
    <t>2956004</t>
  </si>
  <si>
    <t>2</t>
  </si>
  <si>
    <t>32.80662</t>
  </si>
  <si>
    <t>MLST.Staphylococcus_aureus.30</t>
  </si>
  <si>
    <t>sa230502_barcode25</t>
  </si>
  <si>
    <t>1280.62645</t>
  </si>
  <si>
    <t>PRJNA1144171</t>
  </si>
  <si>
    <t>SAMN43040007</t>
  </si>
  <si>
    <t>nasal swab</t>
  </si>
  <si>
    <t>not applicable</t>
  </si>
  <si>
    <t>New Zealand</t>
  </si>
  <si>
    <t>Oceania</t>
  </si>
  <si>
    <t>Flye v. v2.9.4</t>
  </si>
  <si>
    <t>2854745</t>
  </si>
  <si>
    <t>32.836174</t>
  </si>
  <si>
    <t>MLST.saureus.30</t>
  </si>
  <si>
    <t>IL-064N</t>
  </si>
  <si>
    <t>1280.63024</t>
  </si>
  <si>
    <t>PRJNA1260753</t>
  </si>
  <si>
    <t>SAMN48403490</t>
  </si>
  <si>
    <t>nasopharyngeal swab</t>
  </si>
  <si>
    <t>Nasopharyngeal colonization</t>
  </si>
  <si>
    <t>Nigeria</t>
  </si>
  <si>
    <t>Oxford Nanopore Technologies</t>
  </si>
  <si>
    <t>Flye in SeqSphere+ v. 10.5.3</t>
  </si>
  <si>
    <t>2919353</t>
  </si>
  <si>
    <t>32.854263</t>
  </si>
  <si>
    <t>MLST.saureus.121</t>
  </si>
  <si>
    <t>PD005</t>
  </si>
  <si>
    <t>1280.63106</t>
  </si>
  <si>
    <t>PRJNA930207</t>
  </si>
  <si>
    <t>SAMN32990827</t>
  </si>
  <si>
    <t>milk sample</t>
  </si>
  <si>
    <t>29-10-2021</t>
  </si>
  <si>
    <t>India</t>
  </si>
  <si>
    <t>Illumina MiSeq</t>
  </si>
  <si>
    <t>SPAdes v. 3.15.3+galaxy2</t>
  </si>
  <si>
    <t>2821101</t>
  </si>
  <si>
    <t>32.870262</t>
  </si>
  <si>
    <t>MLST.saureus.-</t>
  </si>
  <si>
    <t>0617SA27</t>
  </si>
  <si>
    <t>1280.63495</t>
  </si>
  <si>
    <t>PRJNA1297944</t>
  </si>
  <si>
    <t>SAMN50253103</t>
  </si>
  <si>
    <t>hospital</t>
  </si>
  <si>
    <t>2024</t>
  </si>
  <si>
    <t>China</t>
  </si>
  <si>
    <t>illumina Novaseq</t>
  </si>
  <si>
    <t>EToKi v. 1.3</t>
  </si>
  <si>
    <t>2754655</t>
  </si>
  <si>
    <t>32.873016</t>
  </si>
  <si>
    <t>MLST.saureus.398</t>
  </si>
  <si>
    <t>1280.63671</t>
  </si>
  <si>
    <t>PRJNA498007</t>
  </si>
  <si>
    <t>SAMN51281255</t>
  </si>
  <si>
    <t>blood</t>
  </si>
  <si>
    <t>Bacteremia</t>
  </si>
  <si>
    <t>06-08-2022</t>
  </si>
  <si>
    <t>South Korea</t>
  </si>
  <si>
    <t>Illumina iSeq; Oxford Nanopore MinION</t>
  </si>
  <si>
    <t>SPAdes v. 3.15.3</t>
  </si>
  <si>
    <t>2727644</t>
  </si>
  <si>
    <t>32.936264</t>
  </si>
  <si>
    <t>9_1a</t>
  </si>
  <si>
    <t>1280.63917</t>
  </si>
  <si>
    <t>PRJNA1288521</t>
  </si>
  <si>
    <t>SAMN49880612</t>
  </si>
  <si>
    <t>bacteremia</t>
  </si>
  <si>
    <t>23-08-2021</t>
  </si>
  <si>
    <t>USA</t>
  </si>
  <si>
    <t>North America</t>
  </si>
  <si>
    <t>Illumina; Oxford Nanopore MinION</t>
  </si>
  <si>
    <t>Unicycler v. 0.5.1</t>
  </si>
  <si>
    <t>2948572</t>
  </si>
  <si>
    <t>32.78007</t>
  </si>
  <si>
    <t>MRSA_MG10</t>
  </si>
  <si>
    <t>1280.63974</t>
  </si>
  <si>
    <t>PRJNA1307276</t>
  </si>
  <si>
    <t>SAMN50743367</t>
  </si>
  <si>
    <t>10-03-2024</t>
  </si>
  <si>
    <t>Malaysia</t>
  </si>
  <si>
    <t>Flye v. 2.9.3</t>
  </si>
  <si>
    <t>2837428</t>
  </si>
  <si>
    <t>32.889153</t>
  </si>
  <si>
    <t>MLST.saureus.6</t>
  </si>
  <si>
    <t>JARB-OU3000</t>
  </si>
  <si>
    <t>1280.64413</t>
  </si>
  <si>
    <t>PRJDB20259</t>
  </si>
  <si>
    <t>SAMD00884926</t>
  </si>
  <si>
    <t>19-05-2022</t>
  </si>
  <si>
    <t>Japan</t>
  </si>
  <si>
    <t>Illumina MiSeq; Nanopore GridION</t>
  </si>
  <si>
    <t>Unicycler v. 0.5.0</t>
  </si>
  <si>
    <t>2892118</t>
  </si>
  <si>
    <t>32.842472</t>
  </si>
  <si>
    <t>MLST.saureus.2725</t>
  </si>
  <si>
    <t>Supplementary Table S1B. RNA-seq sample metadata</t>
  </si>
  <si>
    <t>Metadata for 20 RNA-seq samples used in differential-expression analyses. Project sample names reproduce the renaming scheme used during analysis.</t>
  </si>
  <si>
    <t>Study</t>
  </si>
  <si>
    <t>Project sample name</t>
  </si>
  <si>
    <t>GEO accession</t>
  </si>
  <si>
    <t>BioProject/Study accession</t>
  </si>
  <si>
    <t>Experiment accession</t>
  </si>
  <si>
    <t>Experimental condition</t>
  </si>
  <si>
    <t>Treatment/comparison</t>
  </si>
  <si>
    <t>Replicate/pair</t>
  </si>
  <si>
    <t>Sample source/infection</t>
  </si>
  <si>
    <t>Growth time</t>
  </si>
  <si>
    <t>Assay type</t>
  </si>
  <si>
    <t>Library source</t>
  </si>
  <si>
    <t>Library selection</t>
  </si>
  <si>
    <t>Platform</t>
  </si>
  <si>
    <t>Average spot length (bp)</t>
  </si>
  <si>
    <t>Total bases</t>
  </si>
  <si>
    <t>Role in expression analysis</t>
  </si>
  <si>
    <t>GSE40864</t>
  </si>
  <si>
    <t>Control_2h_rep1</t>
  </si>
  <si>
    <t>SRR568041</t>
  </si>
  <si>
    <t>GSM1003644</t>
  </si>
  <si>
    <t>PRJNA175138</t>
  </si>
  <si>
    <t>SAMN01173983</t>
  </si>
  <si>
    <t>SRX186567</t>
  </si>
  <si>
    <t>JKD6008</t>
  </si>
  <si>
    <t>Control</t>
  </si>
  <si>
    <t>No antibiotic</t>
  </si>
  <si>
    <t>2 hours</t>
  </si>
  <si>
    <t>RNA-Seq</t>
  </si>
  <si>
    <t>TRANSCRIPTOMIC</t>
  </si>
  <si>
    <t>cDNA</t>
  </si>
  <si>
    <t>SINGLE</t>
  </si>
  <si>
    <t>Illumina Genome Analyzer IIx</t>
  </si>
  <si>
    <t>29</t>
  </si>
  <si>
    <t>140600410</t>
  </si>
  <si>
    <t>Vancomycin-treated versus untreated control expression analysis</t>
  </si>
  <si>
    <t>Control_2h_rep2</t>
  </si>
  <si>
    <t>SRR568042</t>
  </si>
  <si>
    <t>68662894</t>
  </si>
  <si>
    <t>Vancomycin_2h_rep1</t>
  </si>
  <si>
    <t>SRR568049</t>
  </si>
  <si>
    <t>GSM1003648</t>
  </si>
  <si>
    <t>SAMN01173987</t>
  </si>
  <si>
    <t>SRX186571</t>
  </si>
  <si>
    <t>Treated</t>
  </si>
  <si>
    <t>Vancomycin</t>
  </si>
  <si>
    <t>167478886</t>
  </si>
  <si>
    <t>Vancomycin_2h_rep2</t>
  </si>
  <si>
    <t>SRR568050</t>
  </si>
  <si>
    <t>88833206</t>
  </si>
  <si>
    <t>Control_2h_rep3</t>
  </si>
  <si>
    <t>SRR568061</t>
  </si>
  <si>
    <t>GSM1003654</t>
  </si>
  <si>
    <t>SAMN01173993</t>
  </si>
  <si>
    <t>SRX186577</t>
  </si>
  <si>
    <t>JKD6009</t>
  </si>
  <si>
    <t>84508262</t>
  </si>
  <si>
    <t>Control_2h_rep4</t>
  </si>
  <si>
    <t>SRR568062</t>
  </si>
  <si>
    <t>4</t>
  </si>
  <si>
    <t>56578652</t>
  </si>
  <si>
    <t>Vancomycin_2h_rep3</t>
  </si>
  <si>
    <t>SRR568069</t>
  </si>
  <si>
    <t>GSM1003658</t>
  </si>
  <si>
    <t>SAMN01173997</t>
  </si>
  <si>
    <t>SRX186581</t>
  </si>
  <si>
    <t>119934488</t>
  </si>
  <si>
    <t>Vancomycin_2h_rep4</t>
  </si>
  <si>
    <t>SRR568070</t>
  </si>
  <si>
    <t>74458631</t>
  </si>
  <si>
    <t>GSE121797</t>
  </si>
  <si>
    <t>DAP_S_1A</t>
  </si>
  <si>
    <t>SRR8110774</t>
  </si>
  <si>
    <t>GSM3446281</t>
  </si>
  <si>
    <t>PRJNA498510</t>
  </si>
  <si>
    <t>SAMN10311492</t>
  </si>
  <si>
    <t>SRX4937297</t>
  </si>
  <si>
    <t>DAP-S Staphylococcus aureus_1-A</t>
  </si>
  <si>
    <t>Sensitive</t>
  </si>
  <si>
    <t>Daptomycin</t>
  </si>
  <si>
    <t>Pair 1</t>
  </si>
  <si>
    <t>skin infection</t>
  </si>
  <si>
    <t>272</t>
  </si>
  <si>
    <t>232756096</t>
  </si>
  <si>
    <t>Daptomycin-resistant versus daptomycin-sensitive expression analysis</t>
  </si>
  <si>
    <t>DAP_R_1C</t>
  </si>
  <si>
    <t>SRR8110775</t>
  </si>
  <si>
    <t>GSM3446282</t>
  </si>
  <si>
    <t>SAMN10311491</t>
  </si>
  <si>
    <t>SRX4937298</t>
  </si>
  <si>
    <t>DAP-R Staphylococcus aureus_1-C</t>
  </si>
  <si>
    <t>Resistant</t>
  </si>
  <si>
    <t>274</t>
  </si>
  <si>
    <t>239802375</t>
  </si>
  <si>
    <t>DAP_S_3A</t>
  </si>
  <si>
    <t>SRR8110776</t>
  </si>
  <si>
    <t>GSM3446283</t>
  </si>
  <si>
    <t>SAMN10311490</t>
  </si>
  <si>
    <t>SRX4937299</t>
  </si>
  <si>
    <t>DAP-S Staphylococcus aureus_3-A</t>
  </si>
  <si>
    <t>Pair 2</t>
  </si>
  <si>
    <t>bloodstream infection</t>
  </si>
  <si>
    <t>273</t>
  </si>
  <si>
    <t>276234626</t>
  </si>
  <si>
    <t>DAP_R_3B</t>
  </si>
  <si>
    <t>SRR8110777</t>
  </si>
  <si>
    <t>GSM3446284</t>
  </si>
  <si>
    <t>SAMN10311489</t>
  </si>
  <si>
    <t>SRX4937300</t>
  </si>
  <si>
    <t>DAP-R Staphylococcus aureus_3-B</t>
  </si>
  <si>
    <t>271</t>
  </si>
  <si>
    <t>274667580</t>
  </si>
  <si>
    <t>PRJNA1358579</t>
  </si>
  <si>
    <t>R78_B</t>
  </si>
  <si>
    <t>SRR35975141</t>
  </si>
  <si>
    <t>SAMN53120462</t>
  </si>
  <si>
    <t>SRX31024434</t>
  </si>
  <si>
    <t>R78</t>
  </si>
  <si>
    <t>Biofilm</t>
  </si>
  <si>
    <t>Biofilm versus planktonic growth condition</t>
  </si>
  <si>
    <t>MRSA isolate</t>
  </si>
  <si>
    <t>150/151</t>
  </si>
  <si>
    <t>Paired isolate-adjusted biofilm versus planktonic expression analysis</t>
  </si>
  <si>
    <t>R78_P</t>
  </si>
  <si>
    <t>SRR35975142</t>
  </si>
  <si>
    <t>SAMN53120461</t>
  </si>
  <si>
    <t>SRX31024433</t>
  </si>
  <si>
    <t>Planktonic</t>
  </si>
  <si>
    <t>R19_B</t>
  </si>
  <si>
    <t>SRR35975143</t>
  </si>
  <si>
    <t>SAMN53120501</t>
  </si>
  <si>
    <t>SRX31024432</t>
  </si>
  <si>
    <t>R19</t>
  </si>
  <si>
    <t>R19_P</t>
  </si>
  <si>
    <t>SRR35975144</t>
  </si>
  <si>
    <t>SAMN53120458</t>
  </si>
  <si>
    <t>SRX31024431</t>
  </si>
  <si>
    <t>R103_B</t>
  </si>
  <si>
    <t>SRR35975139</t>
  </si>
  <si>
    <t>SAMN53120464</t>
  </si>
  <si>
    <t>SRX31024436</t>
  </si>
  <si>
    <t>R103</t>
  </si>
  <si>
    <t>R103_P</t>
  </si>
  <si>
    <t>SRR35975140</t>
  </si>
  <si>
    <t>SAMN53120463</t>
  </si>
  <si>
    <t>SRX31024435</t>
  </si>
  <si>
    <t>R24_B</t>
  </si>
  <si>
    <t>SRR35975145</t>
  </si>
  <si>
    <t>SAMN53120460</t>
  </si>
  <si>
    <t>SRX31024430</t>
  </si>
  <si>
    <t>R24</t>
  </si>
  <si>
    <t>R24_P</t>
  </si>
  <si>
    <t>SRR35975146</t>
  </si>
  <si>
    <t>SAMN53120459</t>
  </si>
  <si>
    <t>SRX31024429</t>
  </si>
  <si>
    <t>Supplementary Table S2. Complete QUAST assembly statistics</t>
  </si>
  <si>
    <t>Assembly statistics for the three retained SRA-derived Staphylococcus aureus genomes. The threshold-specific values are reported exactly as returned by QUAST.</t>
  </si>
  <si>
    <t>Genome</t>
  </si>
  <si>
    <t>Contigs (≥0 bp)</t>
  </si>
  <si>
    <t>Contigs (≥1,000 bp)</t>
  </si>
  <si>
    <t>Contigs (≥5,000 bp)</t>
  </si>
  <si>
    <t>Contigs (≥10,000 bp)</t>
  </si>
  <si>
    <t>Contigs (≥25,000 bp)</t>
  </si>
  <si>
    <t>Contigs (≥50,000 bp)</t>
  </si>
  <si>
    <t>Total length (≥0 bp)</t>
  </si>
  <si>
    <t>Total length (≥1,000 bp)</t>
  </si>
  <si>
    <t>Total length (≥5,000 bp)</t>
  </si>
  <si>
    <t>Total length (≥10,000 bp)</t>
  </si>
  <si>
    <t>Total length (≥25,000 bp)</t>
  </si>
  <si>
    <t>Total length (≥50,000 bp)</t>
  </si>
  <si>
    <t>Contigs used for main statistics</t>
  </si>
  <si>
    <t>Largest contig (bp)</t>
  </si>
  <si>
    <t>Total assembly length (bp)</t>
  </si>
  <si>
    <t>N50 (bp)</t>
  </si>
  <si>
    <t>N90 (bp)</t>
  </si>
  <si>
    <t>auN</t>
  </si>
  <si>
    <t>L50</t>
  </si>
  <si>
    <t>L90</t>
  </si>
  <si>
    <t>Ambiguous bases per 100 kbp</t>
  </si>
  <si>
    <t>Supplementary Table S3B. AMR gene prevalence across 16 genomes</t>
  </si>
  <si>
    <t>Each CARD best-hit ARO was counted once per genome, preventing multiple ORFs from inflating genome-level prevalence.</t>
  </si>
  <si>
    <t>AMR gene / CARD best-hit ARO</t>
  </si>
  <si>
    <t>Genomes detected (n)</t>
  </si>
  <si>
    <t>Prevalence (%)</t>
  </si>
  <si>
    <t>Genomes</t>
  </si>
  <si>
    <t>arlR</t>
  </si>
  <si>
    <t>0617SA27, 2018, 614E, 9_1a, AUH_SA_2023_6, ERR12712640, ERR12712641, ERR13347068, H2_22S00635-1, IL-064N, IPD029-1, JARB-OU3000, KWT_2020, MRSA_MG10, PD005, sa230502_barcode25</t>
  </si>
  <si>
    <t>mepA</t>
  </si>
  <si>
    <t>mepR</t>
  </si>
  <si>
    <t>norC</t>
  </si>
  <si>
    <t>sdrM</t>
  </si>
  <si>
    <t>sepA</t>
  </si>
  <si>
    <t>tet(38)</t>
  </si>
  <si>
    <t>vanT gene in vanG cluster</t>
  </si>
  <si>
    <t>arlS</t>
  </si>
  <si>
    <t>0617SA27, 2018, 614E, 9_1a, AUH_SA_2023_6, ERR12712640, ERR12712641, ERR13347068, H2_22S00635-1, IL-064N, JARB-OU3000, KWT_2020, MRSA_MG10, PD005, sa230502_barcode25</t>
  </si>
  <si>
    <t>mgrA</t>
  </si>
  <si>
    <t>Staphylococcus aureus norA</t>
  </si>
  <si>
    <t>0617SA27, 2018, 614E, 9_1a, ERR12712640, ERR12712641, ERR13347068, H2_22S00635-1, IL-064N, IPD029-1, JARB-OU3000, KWT_2020, MRSA_MG10, PD005, sa230502_barcode25</t>
  </si>
  <si>
    <t>kdpD</t>
  </si>
  <si>
    <t>0617SA27, 2018, 614E, 9_1a, ERR12712640, ERR12712641, ERR13347068, H2_22S00635-1, IL-064N, JARB-OU3000, KWT_2020, MRSA_MG10, PD005, sa230502_barcode25</t>
  </si>
  <si>
    <t>Staphylococcus aureus LmrS</t>
  </si>
  <si>
    <t>0617SA27, 2018, 9_1a, AUH_SA_2023_6, ERR12712640, ERR12712641, ERR13347068, IL-064N, IPD029-1, JARB-OU3000, KWT_2020, MRSA_MG10, PD005</t>
  </si>
  <si>
    <t>PC1</t>
  </si>
  <si>
    <t>2018, 614E, 9_1a, ERR12712640, ERR12712641, ERR13347068, H2_22S00635-1, IL-064N, JARB-OU3000, KWT_2020, sa230502_barcode25</t>
  </si>
  <si>
    <t>Staphylococcus aureus FosB</t>
  </si>
  <si>
    <t>0617SA27, 614E, 9_1a, AUH_SA_2023_6, ERR12712640, ERR12712641, IL-064N, KWT_2020, PD005</t>
  </si>
  <si>
    <t>mecA</t>
  </si>
  <si>
    <t>9_1a, ERR12712640, ERR12712641, ERR13347068, H2_22S00635-1, JARB-OU3000, KWT_2020, MRSA_MG10</t>
  </si>
  <si>
    <t>Staphylococcus aureus murA with mutation conferring resistance to fosfomycin</t>
  </si>
  <si>
    <t>0617SA27, 2018, 614E, 9_1a, H2_22S00635-1, IL-064N, KWT_2020, sa230502_barcode25</t>
  </si>
  <si>
    <t>Staphylococcus aureus GlpT with mutation conferring resistance to fosfomycin</t>
  </si>
  <si>
    <t>0617SA27, 2018, 614E, H2_22S00635-1, IL-064N, sa230502_barcode25</t>
  </si>
  <si>
    <t>Staphylococcus aureus gyrA conferring resistance to fluoroquinolones</t>
  </si>
  <si>
    <t>9_1a, ERR12712640, IPD029-1, JARB-OU3000, KWT_2020, MRSA_MG10</t>
  </si>
  <si>
    <t>Staphylococcus aureus parC conferring resistance to fluoroquinolones</t>
  </si>
  <si>
    <t>ANT(9)-Ia</t>
  </si>
  <si>
    <t>614E, ERR12712640, JARB-OU3000, KWT_2020, sa230502_barcode25</t>
  </si>
  <si>
    <t>ErmA</t>
  </si>
  <si>
    <t>AAC(6')-Ie-APH(2'')-Ia bifunctional protein</t>
  </si>
  <si>
    <t>614E, H2_22S00635-1, KWT_2020</t>
  </si>
  <si>
    <t>APH(3')-IIIa</t>
  </si>
  <si>
    <t>9_1a, ERR13347068, KWT_2020</t>
  </si>
  <si>
    <t>SAT-4</t>
  </si>
  <si>
    <t>ErmC</t>
  </si>
  <si>
    <t>ERR13347068, MRSA_MG10</t>
  </si>
  <si>
    <t>mecR1</t>
  </si>
  <si>
    <t>ERR12712640, KWT_2020</t>
  </si>
  <si>
    <t>qacA</t>
  </si>
  <si>
    <t>IPD029-1, KWT_2020</t>
  </si>
  <si>
    <t>Staphylococcus aureus ileS with mutation conferring resistance to mupirocin</t>
  </si>
  <si>
    <t>9_1a, KWT_2020</t>
  </si>
  <si>
    <t>tet(M)</t>
  </si>
  <si>
    <t>H2_22S00635-1, KWT_2020</t>
  </si>
  <si>
    <t>aad(6)</t>
  </si>
  <si>
    <t>ANT(4')-Ia</t>
  </si>
  <si>
    <t>dfrC</t>
  </si>
  <si>
    <t>dfrG</t>
  </si>
  <si>
    <t>dfrK</t>
  </si>
  <si>
    <t>mecI</t>
  </si>
  <si>
    <t>mphC</t>
  </si>
  <si>
    <t>msrA</t>
  </si>
  <si>
    <t>Staphylococcus aureus fusA with mutation conferring resistance to fusidic acid</t>
  </si>
  <si>
    <t>KWT_2020</t>
  </si>
  <si>
    <t>tet(K)</t>
  </si>
  <si>
    <t>Supplementary Table S3C. Resistance-mechanism and drug-class frequencies</t>
  </si>
  <si>
    <t>Counts represent individual cleaned CARD-RGI hits. Drug-class combinations are retained as reported by CARD and are not interpreted as mutually exclusive antibiotic counts.</t>
  </si>
  <si>
    <t>Category type</t>
  </si>
  <si>
    <t>CARD annotation</t>
  </si>
  <si>
    <t>Number of RGI hits</t>
  </si>
  <si>
    <t>Resistance mechanism</t>
  </si>
  <si>
    <t>antibiotic efflux</t>
  </si>
  <si>
    <t>antibiotic target alteration</t>
  </si>
  <si>
    <t>antibiotic inactivation</t>
  </si>
  <si>
    <t>antibiotic target replacement</t>
  </si>
  <si>
    <t>antibiotic target protection</t>
  </si>
  <si>
    <t>Drug-class annotation</t>
  </si>
  <si>
    <t>fluoroquinolone antibiotic; disinfecting agents and antiseptics</t>
  </si>
  <si>
    <t>glycylcycline; tetracycline antibiotic</t>
  </si>
  <si>
    <t>aminoglycoside antibiotic</t>
  </si>
  <si>
    <t>fluoroquinolone antibiotic</t>
  </si>
  <si>
    <t>penicillin beta-lactam</t>
  </si>
  <si>
    <t>phosphonic acid antibiotic</t>
  </si>
  <si>
    <t>tetracycline antibiotic</t>
  </si>
  <si>
    <t>disinfecting agents and antiseptics</t>
  </si>
  <si>
    <t>glycopeptide antibiotic</t>
  </si>
  <si>
    <t>fluoroquinolone antibiotic; cephalosporin; penicillin beta-lactam; tetracycline antibiotic; peptide antibiotic; moenomycin antibiotic; disinfecting agents and antiseptics</t>
  </si>
  <si>
    <t>macrolide antibiotic; aminoglycoside antibiotic; oxazolidinone antibiotic; diaminopyrimidine antibiotic; phenicol antibiotic</t>
  </si>
  <si>
    <t>macrolide antibiotic; lincosamide antibiotic; streptogramin antibiotic; streptogramin A antibiotic; streptogramin B antibiotic</t>
  </si>
  <si>
    <t>diaminopyrimidine antibiotic</t>
  </si>
  <si>
    <t>nucleoside antibiotic</t>
  </si>
  <si>
    <t>mupirocin-like antibiotic</t>
  </si>
  <si>
    <t>fusidane antibiotic</t>
  </si>
  <si>
    <t>macrolide antibiotic</t>
  </si>
  <si>
    <t>macrolide antibiotic; streptogramin antibiotic; streptogramin B antibiotic</t>
  </si>
  <si>
    <t>Supplementary Table S4A. Significant DEGs in GSE40864</t>
  </si>
  <si>
    <t>Significant differentially expressed genes identified in the vancomycin-treated versus untreated comparison. Direction is based on the sign of log2FoldChange.</t>
  </si>
  <si>
    <t>GeneID</t>
  </si>
  <si>
    <t>Locus Tag</t>
  </si>
  <si>
    <t>Gene Symbol</t>
  </si>
  <si>
    <t>Product</t>
  </si>
  <si>
    <t>baseMean</t>
  </si>
  <si>
    <t>log2FoldChange</t>
  </si>
  <si>
    <t>lfcSE</t>
  </si>
  <si>
    <t>stat</t>
  </si>
  <si>
    <t>pvalue</t>
  </si>
  <si>
    <t>padj</t>
  </si>
  <si>
    <t>Regulation</t>
  </si>
  <si>
    <t>cds-WP_014532405.1</t>
  </si>
  <si>
    <t>SA_RS15045</t>
  </si>
  <si>
    <t>psm-mec</t>
  </si>
  <si>
    <t>phenol-soluble modulin PSM-mec</t>
  </si>
  <si>
    <t>Upregulated</t>
  </si>
  <si>
    <t>cds-WP_000690405.1</t>
  </si>
  <si>
    <t>SA_RS01245</t>
  </si>
  <si>
    <t>sugar phosphate isomerase/epimerase family protein</t>
  </si>
  <si>
    <t>cds-WP_000240920.1</t>
  </si>
  <si>
    <t>SA_RS01455</t>
  </si>
  <si>
    <t>tarL</t>
  </si>
  <si>
    <t>teichoic acid ribitol-phosphate polymerase TarL</t>
  </si>
  <si>
    <t>Downregulated</t>
  </si>
  <si>
    <t>cds-WP_000731878.1</t>
  </si>
  <si>
    <t>SA_RS01805</t>
  </si>
  <si>
    <t>glycine cleavage system protein H</t>
  </si>
  <si>
    <t>cds-WP_001261460.1</t>
  </si>
  <si>
    <t>SA_RS02015</t>
  </si>
  <si>
    <t>rpsF</t>
  </si>
  <si>
    <t>30S ribosomal protein S6</t>
  </si>
  <si>
    <t>cds-WP_000673051.1</t>
  </si>
  <si>
    <t>SA_RS02235</t>
  </si>
  <si>
    <t>superantigen-like protein SSL10</t>
  </si>
  <si>
    <t>cds-WP_001118675.1</t>
  </si>
  <si>
    <t>SA_RS02470</t>
  </si>
  <si>
    <t>treR</t>
  </si>
  <si>
    <t>trehalose operon repressor</t>
  </si>
  <si>
    <t>cds-WP_001107235.1</t>
  </si>
  <si>
    <t>SA_RS03720</t>
  </si>
  <si>
    <t>ybaK</t>
  </si>
  <si>
    <t>Cys-tRNA(Pro) deacylase</t>
  </si>
  <si>
    <t>cds-WP_000149344.1</t>
  </si>
  <si>
    <t>SA_RS03770</t>
  </si>
  <si>
    <t>saeR</t>
  </si>
  <si>
    <t>response regulator transcription factor SaeR</t>
  </si>
  <si>
    <t>cds-WP_001093562.1</t>
  </si>
  <si>
    <t>SA_RS03780</t>
  </si>
  <si>
    <t>DM13 domain-containing protein</t>
  </si>
  <si>
    <t>cds-WP_000273982.1</t>
  </si>
  <si>
    <t>SA_RS04505</t>
  </si>
  <si>
    <t>DUF86 domain-containing protein</t>
  </si>
  <si>
    <t>cds-WP_000437472.1</t>
  </si>
  <si>
    <t>SA_RS05295</t>
  </si>
  <si>
    <t>phosphocarrier protein HPr</t>
  </si>
  <si>
    <t>cds-WP_000257888.1</t>
  </si>
  <si>
    <t>SA_RS05330</t>
  </si>
  <si>
    <t>DNA-dependent RNA polymerase subunit epsilon</t>
  </si>
  <si>
    <t>cds-WP_000538766.1</t>
  </si>
  <si>
    <t>SA_RS05470</t>
  </si>
  <si>
    <t>DUF420 domain-containing protein</t>
  </si>
  <si>
    <t>cds-WP_001190913.1</t>
  </si>
  <si>
    <t>SA_RS05940</t>
  </si>
  <si>
    <t>carbamoyl phosphate synthase small subunit</t>
  </si>
  <si>
    <t>cds-WP_001126259.1</t>
  </si>
  <si>
    <t>SA_RS05945</t>
  </si>
  <si>
    <t>carB</t>
  </si>
  <si>
    <t>carbamoyl-phosphate synthase large subunit</t>
  </si>
  <si>
    <t>cds-WP_001222105.1</t>
  </si>
  <si>
    <t>SA_RS06390</t>
  </si>
  <si>
    <t>TIGR00282 family metallophosphoesterase</t>
  </si>
  <si>
    <t>cds-WP_000435068.1</t>
  </si>
  <si>
    <t>SA_RS06555</t>
  </si>
  <si>
    <t>hypothetical protein</t>
  </si>
  <si>
    <t>cds-WP_001162352.1</t>
  </si>
  <si>
    <t>SA_RS06950</t>
  </si>
  <si>
    <t>cvfB</t>
  </si>
  <si>
    <t>RNA-binding virulence regulatory protein CvfB</t>
  </si>
  <si>
    <t>cds-WP_000048060.1</t>
  </si>
  <si>
    <t>SA_RS07930</t>
  </si>
  <si>
    <t>rpsU</t>
  </si>
  <si>
    <t>30S ribosomal protein S21</t>
  </si>
  <si>
    <t>cds-WP_000137774.1</t>
  </si>
  <si>
    <t>SA_RS08125</t>
  </si>
  <si>
    <t>peptidase U32 family protein</t>
  </si>
  <si>
    <t>cds-WP_001024576.1</t>
  </si>
  <si>
    <t>SA_RS08835</t>
  </si>
  <si>
    <t>M42 family metallopeptidase</t>
  </si>
  <si>
    <t>cds-WP_001025067.1</t>
  </si>
  <si>
    <t>SA_RS08905</t>
  </si>
  <si>
    <t>MDR family MFS transporter</t>
  </si>
  <si>
    <t>cds-WP_000671712.1</t>
  </si>
  <si>
    <t>SA_RS10055</t>
  </si>
  <si>
    <t>MAP domain-containing protein</t>
  </si>
  <si>
    <t>cds-WP_000237528.1</t>
  </si>
  <si>
    <t>SA_RS13260</t>
  </si>
  <si>
    <t>Cof-type HAD-IIB family hydrolase</t>
  </si>
  <si>
    <t>cds-WP_000460421.1</t>
  </si>
  <si>
    <t>SA_RS13295</t>
  </si>
  <si>
    <t>sdaAA</t>
  </si>
  <si>
    <t>L-serine ammonia-lyase%2C iron-sulfur-dependent%2C subunit alpha</t>
  </si>
  <si>
    <t>Supplementary Table S4B. Significant DEG in GSE121797</t>
  </si>
  <si>
    <t>The single significant differentially expressed gene identified in the daptomycin-resistant versus daptomycin-sensitive comparison.</t>
  </si>
  <si>
    <t>cds-WP_000197018.1</t>
  </si>
  <si>
    <t>SA_RS04815</t>
  </si>
  <si>
    <t>Peptide ABC transporter substrate-binding protein</t>
  </si>
  <si>
    <t>Supplementary Table S4C. Significant DEGs in PRJNA1358579</t>
  </si>
  <si>
    <t>Supplementary Table S5A. AMR gene-family presence–absence matrix</t>
  </si>
  <si>
    <t>Binary presence (1) or absence (0) of AMR gene families across the 16 genomes, based on the finalized matrix used in the study.</t>
  </si>
  <si>
    <t>AMR Gene Family</t>
  </si>
  <si>
    <t>ANT(4')</t>
  </si>
  <si>
    <t>ANT(6)</t>
  </si>
  <si>
    <t>ANT(9)</t>
  </si>
  <si>
    <t>APH(3')</t>
  </si>
  <si>
    <t>ATP-binding cassette (ABC) antibiotic efflux pump; major facilitator superfamily (MFS) antibiotic efflux pump</t>
  </si>
  <si>
    <t>BlaZ beta-lactamase</t>
  </si>
  <si>
    <t>Erm 23S ribosomal RNA methyltransferase</t>
  </si>
  <si>
    <t>aminoglycoside bifunctional resistance protein</t>
  </si>
  <si>
    <t>antibiotic resistant fusA</t>
  </si>
  <si>
    <t>antibiotic-resistant GlpT</t>
  </si>
  <si>
    <t>antibiotic-resistant isoleucyl-tRNA synthetase (ileS)</t>
  </si>
  <si>
    <t>antibiotic-resistant murA transferase</t>
  </si>
  <si>
    <t>fluoroquinolone resistant gyrA</t>
  </si>
  <si>
    <t>fluoroquinolone resistant parC</t>
  </si>
  <si>
    <t>fosfomycin thiol transferase</t>
  </si>
  <si>
    <t>glycopeptide resistance gene cluster; vanT</t>
  </si>
  <si>
    <t>kdpDE</t>
  </si>
  <si>
    <t>macrolide phosphotransferase (MPH)</t>
  </si>
  <si>
    <t>major facilitator superfamily (MFS) antibiotic efflux pump</t>
  </si>
  <si>
    <t>methicillin resistant PBP2</t>
  </si>
  <si>
    <t>msr-type ABC-F protein</t>
  </si>
  <si>
    <t>multidrug and toxic compound extrusion (MATE) transporter</t>
  </si>
  <si>
    <t>small multidrug resistance (SMR) antibiotic efflux pump</t>
  </si>
  <si>
    <t>streptothricin acetyltransferase (SAT)</t>
  </si>
  <si>
    <t>tetracycline-resistant ribosomal protection protein</t>
  </si>
  <si>
    <t>trimethoprim resistant dihydrofolate reductase dfr</t>
  </si>
  <si>
    <t>Supplementary Table S5B. AMR pangenome classification</t>
  </si>
  <si>
    <t>AMR Gene</t>
  </si>
  <si>
    <t>No. of Genomes</t>
  </si>
  <si>
    <t>Pan-genome Category</t>
  </si>
  <si>
    <t>Drug Class</t>
  </si>
  <si>
    <t>Resistance Mechanism</t>
  </si>
  <si>
    <t>norA</t>
  </si>
  <si>
    <t>Core</t>
  </si>
  <si>
    <t>Fluoroquinolone</t>
  </si>
  <si>
    <t>Antibiotic efflux</t>
  </si>
  <si>
    <t>Glycylcycline, Tetracycline</t>
  </si>
  <si>
    <t>Regulation of antibiotic efflux</t>
  </si>
  <si>
    <t>gyrA</t>
  </si>
  <si>
    <t>Target alteration</t>
  </si>
  <si>
    <t>parC</t>
  </si>
  <si>
    <t>Fluoroquinolone; disinfecting agents and antiseptics*</t>
  </si>
  <si>
    <t>Regulatory protein associated with resistance</t>
  </si>
  <si>
    <t>Shell</t>
  </si>
  <si>
    <t>Penicillin (β-lactam)</t>
  </si>
  <si>
    <t>Antibiotic target replacement</t>
  </si>
  <si>
    <t>fosB</t>
  </si>
  <si>
    <t>Fosfomycin</t>
  </si>
  <si>
    <t>Antibiotic inactivation</t>
  </si>
  <si>
    <t>norB</t>
  </si>
  <si>
    <t>Supplementary Table S6A. IslandViewer results</t>
  </si>
  <si>
    <t>Predicted genomic islands in the three SRA-derived assemblies. No AMR or virulence genes were identified within the predicted islands.</t>
  </si>
  <si>
    <t>Predicted genomic islands (n)</t>
  </si>
  <si>
    <t>AMR genes within islands</t>
  </si>
  <si>
    <t>Virulence genes within islands</t>
  </si>
  <si>
    <t>None detected</t>
  </si>
  <si>
    <t>Supplementary Table S6B. SCCmecFinder results</t>
  </si>
  <si>
    <t>SCCmec types detected in the three SRA-derived Staphylococcus aureus genomes.</t>
  </si>
  <si>
    <t>SCCmec type</t>
  </si>
  <si>
    <t>mec complex / subtype</t>
  </si>
  <si>
    <t>Type II</t>
  </si>
  <si>
    <t>2A</t>
  </si>
  <si>
    <t>Type IVc</t>
  </si>
  <si>
    <t>2B</t>
  </si>
  <si>
    <t>Type IVa</t>
  </si>
  <si>
    <t>Supplementary Table S6C. MobileElementFinder results</t>
  </si>
  <si>
    <t>Mobile genetic elements detected in the three SRA-derived genomes. Copy number is reported where specified in the result summary.</t>
  </si>
  <si>
    <t>Element class</t>
  </si>
  <si>
    <t>Element</t>
  </si>
  <si>
    <t>Copies</t>
  </si>
  <si>
    <t>Insertion sequence</t>
  </si>
  <si>
    <t>ISSau4</t>
  </si>
  <si>
    <t>ISSau3</t>
  </si>
  <si>
    <t>ISSau6</t>
  </si>
  <si>
    <t>Transposon</t>
  </si>
  <si>
    <t>Tn554</t>
  </si>
  <si>
    <t>Tn552</t>
  </si>
  <si>
    <t>Composite transposon</t>
  </si>
  <si>
    <t>cn_6077_ISSau6</t>
  </si>
  <si>
    <t>ISSep3</t>
  </si>
  <si>
    <t>Tn5405</t>
  </si>
  <si>
    <t>Supplementary Table S6D. Combined genomic-context summary</t>
  </si>
  <si>
    <t>Integrated summary of genomic-island prediction, SCCmec typing and mobile-element detection in the three SRA-derived genomes.</t>
  </si>
  <si>
    <t>AMR genes in islands</t>
  </si>
  <si>
    <t>Mobile elements</t>
  </si>
  <si>
    <t>Interpretation</t>
  </si>
  <si>
    <t>Type II (2A)</t>
  </si>
  <si>
    <t>ISSau4; ISSau3; ISSau6; Tn554</t>
  </si>
  <si>
    <t>mecA-associated SCCmec detected; no AMR genes identified within predicted genomic islands</t>
  </si>
  <si>
    <t>Type IVc (2B)</t>
  </si>
  <si>
    <t>ISSau6 (3 copies); Tn552; cn_6077_ISSau6</t>
  </si>
  <si>
    <t>Type IVa (2B)</t>
  </si>
  <si>
    <t>ISSep3; Tn5405</t>
  </si>
  <si>
    <t>Supplementary Table S7. InterProScan functional annotation of representative AMR proteins</t>
  </si>
  <si>
    <t>Gene</t>
  </si>
  <si>
    <t>Representative protein</t>
  </si>
  <si>
    <t>Protein family</t>
  </si>
  <si>
    <t>Key domain</t>
  </si>
  <si>
    <t>InterPro ID</t>
  </si>
  <si>
    <t>InterPro description</t>
  </si>
  <si>
    <t>GO terms</t>
  </si>
  <si>
    <t>Important pathway</t>
  </si>
  <si>
    <t>Membrane feature</t>
  </si>
  <si>
    <t>mecA_V1|KWT_2020</t>
  </si>
  <si>
    <t>PBP2a family beta-lactam-resistant peptidoglycan transpeptidase</t>
  </si>
  <si>
    <t>Penicillin-binding protein transpeptidase domain</t>
  </si>
  <si>
    <t>IPR001460</t>
  </si>
  <si>
    <t>Penicillin-binding protein, transpeptidase</t>
  </si>
  <si>
    <t>GO:0008658(InterPro)</t>
  </si>
  <si>
    <t>MetaCyc:PWY-5265|MetaCyc:PWY-6471</t>
  </si>
  <si>
    <t>Single transmembrane helix predicted by TMHMM/Phobius</t>
  </si>
  <si>
    <t>norA_V2|ERR12712641</t>
  </si>
  <si>
    <t>Major Facilitator Superfamily (MFS) Efflux Transporter</t>
  </si>
  <si>
    <t>Major Facilitator Superfamily (MFS) transporter domain (PF07690)</t>
  </si>
  <si>
    <t>IPR050189</t>
  </si>
  <si>
    <t>Major Facilitator Superfamily Efflux Transporters</t>
  </si>
  <si>
    <t>GO:0005886, GO:0022857, GO:0055085</t>
  </si>
  <si>
    <t>Integral membrane protein with multiple transmembrane helices (predicted by Phobius/TMHMM; typical MFS transporter architecture of ~12 transmembrane helices).</t>
  </si>
  <si>
    <t>mepA_V4 (ERR12712640)</t>
  </si>
  <si>
    <t>MATE (Multidrug And Toxic compound Extrusion) family multidrug efflux transporter</t>
  </si>
  <si>
    <t>MatE domain (PF01554)</t>
  </si>
  <si>
    <t>IPR002528</t>
  </si>
  <si>
    <t>Multi antimicrobial extrusion protein</t>
  </si>
  <si>
    <t>GO:0015297, GO:0016020, GO:0042910, GO:0055085</t>
  </si>
  <si>
    <t>Integral membrane protein with multiple transmembrane helices predicted by both Phobius and TMHMM (typical MATE transporter architecture with ~12 transmembrane helices).</t>
  </si>
  <si>
    <t>mepR_V4 (IPD029-1)</t>
  </si>
  <si>
    <t>MarR family transcriptional regulator</t>
  </si>
  <si>
    <t>MarR family DNA-binding domain (PF12802)</t>
  </si>
  <si>
    <t>IPR000835</t>
  </si>
  <si>
    <t>MarR-type HTH domain</t>
  </si>
  <si>
    <t>GO:0003700, GO:0006355</t>
  </si>
  <si>
    <t>No transmembrane helices predicted; soluble cytoplasmic DNA-binding regulatory protein.</t>
  </si>
  <si>
    <t>tet(38)_V1 (KWT_2020)</t>
  </si>
  <si>
    <t>Major Facilitator Superfamily (MFS) tetracycline efflux transporter (Tet38)</t>
  </si>
  <si>
    <t>IPR011701</t>
  </si>
  <si>
    <t>Major facilitator superfamily</t>
  </si>
  <si>
    <t>GO:0022857, GO:0055085</t>
  </si>
  <si>
    <t>Integral membrane protein with multiple transmembrane helices predicted by both Phobius and TMHMM (typical MFS transporter architecture with ~12 transmembrane helices).</t>
  </si>
  <si>
    <t>Antibiotic target alteration</t>
  </si>
  <si>
    <t>gyrA_V1 (IPD029-1)</t>
  </si>
  <si>
    <t>DNA gyrase subunit A (Type II DNA topoisomerase)</t>
  </si>
  <si>
    <t>DNA gyrase/topoisomerase IV subunit A catalytic domain (PF00521)</t>
  </si>
  <si>
    <t>IPR005743</t>
  </si>
  <si>
    <t>DNA gyrase, subunit A</t>
  </si>
  <si>
    <t>GO:0003677, GO:0003918, GO:0005524, GO:0005694, GO:0006265</t>
  </si>
  <si>
    <t>No transmembrane helices predicted; soluble cytoplasmic enzyme.</t>
  </si>
  <si>
    <t>parC_V5 (ERR12712640)</t>
  </si>
  <si>
    <t>DNA topoisomerase IV subunit A (ParC), Gram-positive bacteria</t>
  </si>
  <si>
    <t>IPR005741</t>
  </si>
  <si>
    <t>DNA topoisomerase IV subunit A, Gram-positive</t>
  </si>
  <si>
    <t>Supplementary Table S8A. GO enrichment results for PRJNA1358579</t>
  </si>
  <si>
    <t>GO enrichment results for the upregulated genes in PRJNA1358579. The analysis used 13 mapped upregulated genes and a background of 1,458 genes.</t>
  </si>
  <si>
    <t>GO ID</t>
  </si>
  <si>
    <t>Ontology</t>
  </si>
  <si>
    <t>Description</t>
  </si>
  <si>
    <t>Gene ratio</t>
  </si>
  <si>
    <t>Background ratio</t>
  </si>
  <si>
    <t>Fold enrichment</t>
  </si>
  <si>
    <t>Adjusted p-value</t>
  </si>
  <si>
    <t>Gene count</t>
  </si>
  <si>
    <t>Gene IDs</t>
  </si>
  <si>
    <t>Significance</t>
  </si>
  <si>
    <t>GO:0003735</t>
  </si>
  <si>
    <t>Molecular Function</t>
  </si>
  <si>
    <t>structural constituent of ribosome</t>
  </si>
  <si>
    <t>6/13</t>
  </si>
  <si>
    <t>56/1458</t>
  </si>
  <si>
    <t>cds-WP_001273085.1; cds-WP_000268484.1; cds-WP_001274017.1; cds-WP_000808968.1; cds-WP_001118667.1; cds-WP_000240855.1</t>
  </si>
  <si>
    <t>Significant</t>
  </si>
  <si>
    <t>GO:0006412</t>
  </si>
  <si>
    <t>Biological Process</t>
  </si>
  <si>
    <t>translation</t>
  </si>
  <si>
    <t>60/1458</t>
  </si>
  <si>
    <t>GO:0005840</t>
  </si>
  <si>
    <t>Cellular Component</t>
  </si>
  <si>
    <t>ribosome</t>
  </si>
  <si>
    <t>3/13</t>
  </si>
  <si>
    <t>33/1458</t>
  </si>
  <si>
    <t>cds-WP_001274017.1; cds-WP_000808968.1; cds-WP_001118667.1</t>
  </si>
  <si>
    <t>Supplementary Table S8B. Gene mapping for enriched GO terms</t>
  </si>
  <si>
    <t>Individual gene identifiers contributing to each enriched GO term.</t>
  </si>
  <si>
    <t>Gene ID</t>
  </si>
  <si>
    <t>cds-WP_001273085.1</t>
  </si>
  <si>
    <t>cds-WP_000268484.1</t>
  </si>
  <si>
    <t>cds-WP_001274017.1</t>
  </si>
  <si>
    <t>cds-WP_000808968.1</t>
  </si>
  <si>
    <t>cds-WP_001118667.1</t>
  </si>
  <si>
    <t>cds-WP_000240855.1</t>
  </si>
  <si>
    <t>Supplementary Table S9. Integrated AMR evidence for seven selected genes</t>
  </si>
  <si>
    <t>Integrated evidence from CARD-RGI, Panaroo, RNA-seq differential-expression analysis, InterProScan, SCCmecFinder, IslandViewer and MobileElementFinder.</t>
  </si>
  <si>
    <t>RGI mechanism</t>
  </si>
  <si>
    <t>Panaroo status</t>
  </si>
  <si>
    <t>RNA expression</t>
  </si>
  <si>
    <t>InterPro family</t>
  </si>
  <si>
    <t>SCCmec association</t>
  </si>
  <si>
    <t>Genomic island</t>
  </si>
  <si>
    <t>Mobile element</t>
  </si>
  <si>
    <t>Antibiotic target replacement (PBP2a-mediated); drug class: penicillin/beta-lactam. Detected by RGI in 8/16 genomes (methicillin resistant PBP2 family, Strict cut-off).</t>
  </si>
  <si>
    <t>Shell (10/16 genomes)</t>
  </si>
  <si>
    <t>mecA itself not a DEG in any dataset. Indirect signal: psm-mec (SCCmec-cassette-encoded phenol-soluble modulin, adjacent to mecA) upregulated in GSE40864 (log2FC +4.37, padj 0.0085), suggesting SCCmec locus transcriptional activity.</t>
  </si>
  <si>
    <t>Present on the SCCmec cassette in all 3 SCCmecFinder-typed genomes: ERR12712640 (Type II/2A), ERR12712641 (Type IVc/2B), ERR13347068 (Type IVa/2B).</t>
  </si>
  <si>
    <t>Not detected within predicted genomic islands.*</t>
  </si>
  <si>
    <t>Associated with SCCmec cassette; no direct association with detected IS/Tn elements.</t>
  </si>
  <si>
    <t>Core methicillin-resistance determinant carried on a variable SCCmec cassette (Type II/2A, IVc/2B, and IVa/2B across the 3 typed genomes) — the differing SCCmec types explain its Shell (not Core) pangenome status. Not located within a predicted genomic island; IslandViewer found no AMR genes in any GI. The adjacent psm-mec transcript's upregulation in GSE40864 is consistent with an actively expressed SCCmec locus in that dataset. Overall, mecA's mobility is cassette-mediated (SCCmec) rather than IS/Tn- or GI-mediated in this dataset.</t>
  </si>
  <si>
    <t>Antibiotic efflux (MFS pump); drug class: fluoroquinolone. Detected by RGI in 15/16 genomes (Strict cut-off).</t>
  </si>
  <si>
    <t>Core (16/16 genomes)</t>
  </si>
  <si>
    <t>No significant differential expression in GSE40864, PRJNA1358579, or GSE121797.</t>
  </si>
  <si>
    <t>MFS transporter domain (PF07690)</t>
  </si>
  <si>
    <t>Not applicable — chromosomal core gene, not part of the SCCmec cassette.</t>
  </si>
  <si>
    <t>No association with detected mobile elements.</t>
  </si>
  <si>
    <t>Core, near-ubiquitous efflux pump — its universal presence and constitutive (non-DEG) expression pattern are consistent with a housekeeping-level basal efflux system rather than a condition-induced resistance response in these datasets.</t>
  </si>
  <si>
    <t>Antibiotic efflux (MATE transporter); drug class: glycylcycline/tetracycline. Detected by RGI in 16/16 genomes (Strict cut-off).</t>
  </si>
  <si>
    <t>No significant differential expression in any of the 3 datasets.</t>
  </si>
  <si>
    <t>Core MATE efflux pump, universally present and transcriptionally stable across conditions tested — supports a baseline resistance role rather than inducible expression under the sampled conditions.</t>
  </si>
  <si>
    <t>Listed by RGI as antibiotic efflux family (regulatory); drug class: glycylcycline/tetracycline. Detected in 16/16 genomes. Note: functions as a repressor of mepA rather than an efflux protein itself — RGI's mechanism label reflects gene-family classification, while Panaroo/AMR-table annotation more precisely calls it 'regulation of antibiotic efflux'.</t>
  </si>
  <si>
    <t>Core local repressor of mepA; structural annotation (MarR HTH domain) confirms a DNA-binding regulatory role rather than direct efflux activity. Stable presence and expression alongside mepA supports a conserved local regulatory circuit.</t>
  </si>
  <si>
    <t>Antibiotic efflux (MFS pump); drug class: tetracycline. Detected by RGI in 16/16 genomes (Strict cut-off).</t>
  </si>
  <si>
    <t>Not listed in the Panaroo pan-genome table provided (only 10 genes captured there)</t>
  </si>
  <si>
    <t>Not applicable — chromosomal core efflux gene, not part of the SCCmec cassette.</t>
  </si>
  <si>
    <t>Universally detected by RGI (16/16) but absent from the supplied Panaroo output — worth confirming whether this reflects a Panaroo filtering step or an incomplete pan-genome table. Structural and RGI evidence both support a canonical MFS tetracycline-efflux role.</t>
  </si>
  <si>
    <t>Antibiotic target alteration (fluoroquinolone); RGI detected 6/16 genomes with resistance-conferring SNP S84L (Strict cut-off, gyrA-specific model).</t>
  </si>
  <si>
    <t>Not applicable — essential core chromosomal gene, not part of the SCCmec cassette.</t>
  </si>
  <si>
    <t>No association with detected mobile elements (resistance is point-mutation-driven).</t>
  </si>
  <si>
    <t>Core essential gene; only the SNP-bearing subset (6/16) is flagged as resistance-conferring by RGI, illustrating that Panaroo 'Core' presence tracks gene carriage, not resistance genotype. The S84L substitution is a well-characterized quinolone-resistance-determining-region (QRDR) mutation.</t>
  </si>
  <si>
    <t>Antibiotic target alteration (fluoroquinolone); RGI detected 6/16 genomes with resistance-conferring SNP combinations (S80Y, S80F, E84G, or S80Y+E84G / S80F+E84G).</t>
  </si>
  <si>
    <t>Core essential gene; QRDR mutations (S80/E84 substitutions) mirror the gyrA pattern and typically co-occur with gyrA mutations for high-level fluoroquinolone resistance. Same core-carriage-vs-resistance-genotype distinction applies as for gyrA.</t>
  </si>
  <si>
    <t xml:space="preserve">Metadata for three SRA datasets assembled from raw reads and thirteen comparative genomes obtained from BV-BRC. </t>
  </si>
  <si>
    <t>Significant differentially expressed genes identified in the paired isolate-adjusted biofilm versus planktonic comparison. Direction is based on the sign of log2FoldChange.</t>
  </si>
  <si>
    <t>cds-WP_000645787.1</t>
  </si>
  <si>
    <t>SA_RS00265</t>
  </si>
  <si>
    <t>adsA</t>
  </si>
  <si>
    <t>LPXTG-anchored adenosine synthase AdsA</t>
  </si>
  <si>
    <t>cds-WP_000977777.1</t>
  </si>
  <si>
    <t>SA_RS00620</t>
  </si>
  <si>
    <t>tandem-type lipoprotein</t>
  </si>
  <si>
    <t>cds-WP_000736082.1</t>
  </si>
  <si>
    <t>SA_RS00785</t>
  </si>
  <si>
    <t>sugar transferase</t>
  </si>
  <si>
    <t>cds-WP_000955781.1</t>
  </si>
  <si>
    <t>SA_RS00885</t>
  </si>
  <si>
    <t>adhE</t>
  </si>
  <si>
    <t>bifunctional acetaldehyde-CoA/alcohol dehydrogenase</t>
  </si>
  <si>
    <t>cds-WP_000590854.1</t>
  </si>
  <si>
    <t>SA_RS01005</t>
  </si>
  <si>
    <t>ABC transporter ATP-binding protein</t>
  </si>
  <si>
    <t>cds-WP_000197961.1</t>
  </si>
  <si>
    <t>SA_RS01015</t>
  </si>
  <si>
    <t>ABC transporter permease</t>
  </si>
  <si>
    <t>cds-WP_000571407.1</t>
  </si>
  <si>
    <t>SA_RS01140</t>
  </si>
  <si>
    <t>cds-WP_001233397.1</t>
  </si>
  <si>
    <t>SA_RS01145</t>
  </si>
  <si>
    <t>cds-WP_000166892.1</t>
  </si>
  <si>
    <t>SA_RS01225</t>
  </si>
  <si>
    <t>sugar ABC transporter permease</t>
  </si>
  <si>
    <t>cds-WP_000162661.1</t>
  </si>
  <si>
    <t>SA_RS01230</t>
  </si>
  <si>
    <t>cds-WP_000153479.1</t>
  </si>
  <si>
    <t>SA_RS01235</t>
  </si>
  <si>
    <t>Gfo/Idh/MocA family protein</t>
  </si>
  <si>
    <t>cds-WP_001154619.1</t>
  </si>
  <si>
    <t>SA_RS01310</t>
  </si>
  <si>
    <t>thiolase family protein</t>
  </si>
  <si>
    <t>cds-WP_001792906.1</t>
  </si>
  <si>
    <t>SA_RS01480</t>
  </si>
  <si>
    <t>lrgA</t>
  </si>
  <si>
    <t>antiholin-like murein hydrolase modulator LrgA</t>
  </si>
  <si>
    <t>cds-WP_001033876.1</t>
  </si>
  <si>
    <t>SA_RS01710</t>
  </si>
  <si>
    <t>5'-nucleotidase%2C lipoprotein e(P4) family</t>
  </si>
  <si>
    <t>cds-WP_001792090.1</t>
  </si>
  <si>
    <t>SA_RS02200</t>
  </si>
  <si>
    <t>cds-WP_000781349.1</t>
  </si>
  <si>
    <t>SA_RS02210</t>
  </si>
  <si>
    <t>superantigen-like protein SSL5</t>
  </si>
  <si>
    <t>cds-WP_000673034.1</t>
  </si>
  <si>
    <t>SA_RS02225</t>
  </si>
  <si>
    <t>superantigen-like protein SSL8</t>
  </si>
  <si>
    <t>cds-WP_001208917.1</t>
  </si>
  <si>
    <t>SA_RS02260</t>
  </si>
  <si>
    <t>FKLRK protein</t>
  </si>
  <si>
    <t>cds-WP_001126664.1</t>
  </si>
  <si>
    <t>SA_RS02605</t>
  </si>
  <si>
    <t>veg</t>
  </si>
  <si>
    <t>biofilm formation stimulator Veg</t>
  </si>
  <si>
    <t>SA_RS02915</t>
  </si>
  <si>
    <t>rplJ</t>
  </si>
  <si>
    <t>50S ribosomal protein L10</t>
  </si>
  <si>
    <t>cds-WP_000737654.1</t>
  </si>
  <si>
    <t>SA_RS03380</t>
  </si>
  <si>
    <t>mntC</t>
  </si>
  <si>
    <t>manganese ABC transporter substrate-binding lipoprotein MntC</t>
  </si>
  <si>
    <t>cds-WP_000894464.1</t>
  </si>
  <si>
    <t>SA_RS03390</t>
  </si>
  <si>
    <t>metal ABC transporter ATP-binding protein</t>
  </si>
  <si>
    <t>cds-WP_001164085.1</t>
  </si>
  <si>
    <t>SA_RS03490</t>
  </si>
  <si>
    <t>cds-WP_001557168.1</t>
  </si>
  <si>
    <t>SA_RS03725</t>
  </si>
  <si>
    <t>DeoR/GlpR family DNA-binding transcription regulator</t>
  </si>
  <si>
    <t>cds-WP_000640737.1</t>
  </si>
  <si>
    <t>SA_RS03730</t>
  </si>
  <si>
    <t>pfkB</t>
  </si>
  <si>
    <t>1-phosphofructokinase</t>
  </si>
  <si>
    <t>cds-WP_001266553.1</t>
  </si>
  <si>
    <t>SA_RS03735</t>
  </si>
  <si>
    <t>PTS fructose transporter subunit IIABC</t>
  </si>
  <si>
    <t>cds-WP_001245577.1</t>
  </si>
  <si>
    <t>SA_RS03930</t>
  </si>
  <si>
    <t>iron chelate uptake ABC transporter family permease subunit</t>
  </si>
  <si>
    <t>cds-WP_000619360.1</t>
  </si>
  <si>
    <t>SA_RS04750</t>
  </si>
  <si>
    <t>LeuA family protein</t>
  </si>
  <si>
    <t>cds-WP_001118417.1</t>
  </si>
  <si>
    <t>SA_RS05445</t>
  </si>
  <si>
    <t>YlaN family protein</t>
  </si>
  <si>
    <t>cds-WP_000041897.1</t>
  </si>
  <si>
    <t>SA_RS05745</t>
  </si>
  <si>
    <t>superantigen-like protein SSL12</t>
  </si>
  <si>
    <t>cds-WP_001063553.1</t>
  </si>
  <si>
    <t>SA_RS05750</t>
  </si>
  <si>
    <t>superantigen-like protein SSL13</t>
  </si>
  <si>
    <t>SA_RS06225</t>
  </si>
  <si>
    <t>rpsB</t>
  </si>
  <si>
    <t>30S ribosomal protein S2</t>
  </si>
  <si>
    <t>cds-WP_000759232.1</t>
  </si>
  <si>
    <t>SA_RS06935</t>
  </si>
  <si>
    <t>phosphate ABC transporter substrate-binding protein PstS</t>
  </si>
  <si>
    <t>cds-SA_RS15265</t>
  </si>
  <si>
    <t>SA_RS15265</t>
  </si>
  <si>
    <t>ebh</t>
  </si>
  <si>
    <t>hyperosmolarity resistance protein Ebh</t>
  </si>
  <si>
    <t>cds-WP_000414695.1</t>
  </si>
  <si>
    <t>SA_RS07195</t>
  </si>
  <si>
    <t>multidrug efflux MFS transporter NorB</t>
  </si>
  <si>
    <t>cds-WP_000064778.1</t>
  </si>
  <si>
    <t>SA_RS07200</t>
  </si>
  <si>
    <t>APC family permease</t>
  </si>
  <si>
    <t>cds-WP_000959424.1</t>
  </si>
  <si>
    <t>SA_RS07210</t>
  </si>
  <si>
    <t>ald</t>
  </si>
  <si>
    <t>alanine dehydrogenase</t>
  </si>
  <si>
    <t>SA_RS07985</t>
  </si>
  <si>
    <t>rpsT</t>
  </si>
  <si>
    <t>30S ribosomal protein S20</t>
  </si>
  <si>
    <t>cds-WP_000752909.1</t>
  </si>
  <si>
    <t>SA_RS08185</t>
  </si>
  <si>
    <t>CsbD family protein</t>
  </si>
  <si>
    <t>cds-WP_001050566.1</t>
  </si>
  <si>
    <t>SA_RS08890</t>
  </si>
  <si>
    <t>sasC</t>
  </si>
  <si>
    <t>LPXTG-anchored aggregation protein SasC</t>
  </si>
  <si>
    <t>cds-WP_001039427.1</t>
  </si>
  <si>
    <t>SA_RS09180</t>
  </si>
  <si>
    <t>splA</t>
  </si>
  <si>
    <t>serine protease SplA</t>
  </si>
  <si>
    <t>cds-WP_000782463.1</t>
  </si>
  <si>
    <t>SA_RS09210</t>
  </si>
  <si>
    <t>lukD</t>
  </si>
  <si>
    <t>bi-component leukocidin LukED subunit D</t>
  </si>
  <si>
    <t>cds-WP_000473596.1</t>
  </si>
  <si>
    <t>SA_RS09215</t>
  </si>
  <si>
    <t>lukE</t>
  </si>
  <si>
    <t>bi-component leukocidin LukED subunit E</t>
  </si>
  <si>
    <t>cds-WP_000920042.1</t>
  </si>
  <si>
    <t>SA_RS10100</t>
  </si>
  <si>
    <t>sak</t>
  </si>
  <si>
    <t>staphylokinase</t>
  </si>
  <si>
    <t>cds-WP_000861026.1</t>
  </si>
  <si>
    <t>SA_RS10105</t>
  </si>
  <si>
    <t>CHAP domain-containing protein</t>
  </si>
  <si>
    <t>cds-WP_000611512.1</t>
  </si>
  <si>
    <t>SA_RS10110</t>
  </si>
  <si>
    <t>phage holin</t>
  </si>
  <si>
    <t>cds-WP_000340977.1</t>
  </si>
  <si>
    <t>SA_RS10130</t>
  </si>
  <si>
    <t>cds-WP_000582152.1</t>
  </si>
  <si>
    <t>SA_RS10145</t>
  </si>
  <si>
    <t>phage tail spike protein</t>
  </si>
  <si>
    <t>cds-WP_000567396.1</t>
  </si>
  <si>
    <t>SA_RS10150</t>
  </si>
  <si>
    <t>phage distal tail protein</t>
  </si>
  <si>
    <t>cds-WP_000504568.1</t>
  </si>
  <si>
    <t>SA_RS10155</t>
  </si>
  <si>
    <t>phage tail tape measure protein</t>
  </si>
  <si>
    <t>cds-WP_000565498.1</t>
  </si>
  <si>
    <t>SA_RS10175</t>
  </si>
  <si>
    <t>cds-WP_000595392.1</t>
  </si>
  <si>
    <t>SA_RS10410</t>
  </si>
  <si>
    <t>lukG</t>
  </si>
  <si>
    <t>bi-component leukocidin LukGH subunit G</t>
  </si>
  <si>
    <t>cds-WP_000791411.1</t>
  </si>
  <si>
    <t>SA_RS10415</t>
  </si>
  <si>
    <t>lukH</t>
  </si>
  <si>
    <t>bi-component leukocidin LukGH subunit H</t>
  </si>
  <si>
    <t>cds-WP_001092411.1</t>
  </si>
  <si>
    <t>SA_RS10810</t>
  </si>
  <si>
    <t>K(+)-transporting ATPase subunit C</t>
  </si>
  <si>
    <t>cds-WP_000546611.1</t>
  </si>
  <si>
    <t>SA_RS10815</t>
  </si>
  <si>
    <t>kdpB</t>
  </si>
  <si>
    <t>potassium-transporting ATPase subunit KdpB</t>
  </si>
  <si>
    <t>SA_RS11050</t>
  </si>
  <si>
    <t>type B 50S ribosomal protein L31</t>
  </si>
  <si>
    <t>cds-WP_001048266.1</t>
  </si>
  <si>
    <t>SA_RS11270</t>
  </si>
  <si>
    <t>fmtB</t>
  </si>
  <si>
    <t>LPXTG-anchored DUF1542 repeat protein FmtB</t>
  </si>
  <si>
    <t>cds-WP_001251935.1</t>
  </si>
  <si>
    <t>SA_RS11380</t>
  </si>
  <si>
    <t>SA_RS11770</t>
  </si>
  <si>
    <t>rpsJ</t>
  </si>
  <si>
    <t>30S ribosomal protein S10</t>
  </si>
  <si>
    <t>cds-WP_001030823.1</t>
  </si>
  <si>
    <t>SA_RS11930</t>
  </si>
  <si>
    <t>fdhD</t>
  </si>
  <si>
    <t>formate dehydrogenase accessory sulfurtransferase FdhD</t>
  </si>
  <si>
    <t>cds-WP_000612126.1</t>
  </si>
  <si>
    <t>SA_RS11970</t>
  </si>
  <si>
    <t>urease subunit beta</t>
  </si>
  <si>
    <t>cds-WP_000278556.1</t>
  </si>
  <si>
    <t>SA_RS12490</t>
  </si>
  <si>
    <t>nitrate/nitrite transporter</t>
  </si>
  <si>
    <t>cds-WP_000692648.1</t>
  </si>
  <si>
    <t>SA_RS12530</t>
  </si>
  <si>
    <t>narH</t>
  </si>
  <si>
    <t>nitrate reductase subunit beta</t>
  </si>
  <si>
    <t>cds-WP_000514408.1</t>
  </si>
  <si>
    <t>SA_RS12535</t>
  </si>
  <si>
    <t>nitrate reductase subunit alpha</t>
  </si>
  <si>
    <t>cds-WP_001118725.1</t>
  </si>
  <si>
    <t>SA_RS12550</t>
  </si>
  <si>
    <t>nirB</t>
  </si>
  <si>
    <t>nitrite reductase large subunit NirB</t>
  </si>
  <si>
    <t>cds-WP_001014063.1</t>
  </si>
  <si>
    <t>SA_RS12555</t>
  </si>
  <si>
    <t>sirohydrochlorin chelatase</t>
  </si>
  <si>
    <t>cds-WP_000792559.1</t>
  </si>
  <si>
    <t>SA_RS12660</t>
  </si>
  <si>
    <t>sbi</t>
  </si>
  <si>
    <t>immunoglobulin-binding protein Sbi</t>
  </si>
  <si>
    <t>cds-WP_000998872.1</t>
  </si>
  <si>
    <t>SA_RS13110</t>
  </si>
  <si>
    <t>sarT</t>
  </si>
  <si>
    <t>HTH-type transcriptional regulator SarT</t>
  </si>
  <si>
    <t>cds-WP_000481425.1</t>
  </si>
  <si>
    <t>SA_RS13150</t>
  </si>
  <si>
    <t>gluconate:H+ symporter</t>
  </si>
  <si>
    <t>cds-WP_001062663.1</t>
  </si>
  <si>
    <t>SA_RS13340</t>
  </si>
  <si>
    <t>pyruvate oxidase</t>
  </si>
  <si>
    <t>cds-WP_001001019.1</t>
  </si>
  <si>
    <t>SA_RS13345</t>
  </si>
  <si>
    <t>LrgB family protein</t>
  </si>
  <si>
    <t>cds-WP_000549734.1</t>
  </si>
  <si>
    <t>SA_RS13350</t>
  </si>
  <si>
    <t>cidA</t>
  </si>
  <si>
    <t>holin-like murein hydrolase modulator CidA</t>
  </si>
  <si>
    <t>cds-WP_001005835.1</t>
  </si>
  <si>
    <t>SA_RS13910</t>
  </si>
  <si>
    <t>arcD</t>
  </si>
  <si>
    <t>arginine-ornithine antiporter</t>
  </si>
  <si>
    <t>cds-WP_001225022.1</t>
  </si>
  <si>
    <t>SA_RS13935</t>
  </si>
  <si>
    <t>aur</t>
  </si>
  <si>
    <t>zinc metalloproteinase aureolysin</t>
  </si>
  <si>
    <t>cds-WP_001077823.1</t>
  </si>
  <si>
    <t>SA_RS14165</t>
  </si>
  <si>
    <t>energy-coupling factor transporter transmembrane component T family protein</t>
  </si>
  <si>
    <t>cds-WP_000138654.1</t>
  </si>
  <si>
    <t>SA_RS14170</t>
  </si>
  <si>
    <t>cds-WP_000743711.1</t>
  </si>
  <si>
    <t>SA_RS14175</t>
  </si>
  <si>
    <t>ECF-type riboflavin transporter substrate-binding protein</t>
  </si>
  <si>
    <t>cds-WP_000528922.1</t>
  </si>
  <si>
    <t>SA_RS14180</t>
  </si>
  <si>
    <t>SAM hydrolase/SAM-dependent halogenase family protein</t>
  </si>
  <si>
    <t>SA_RS14310</t>
  </si>
  <si>
    <t>rpmH</t>
  </si>
  <si>
    <t>50S ribosomal protein L34</t>
  </si>
  <si>
    <t>Selected AMR genes classified using Panaroo gene presence across the 16 genomes.</t>
  </si>
  <si>
    <t xml:space="preserve">Representative protein annotations for seven selected AMR genes.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</si>
</sst>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>
    <font>
      <sz val="11"/>
      <name val="Carlito"/>
    </font>
    <font>
      <b/>
      <sz val="15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/>
    <xf numFmtId="0" fontId="0" fillId="0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/>
    <xf numFmtId="0" fontId="4" fillId="2" borderId="12" xfId="0" applyNumberFormat="1" applyFont="1" applyFill="1" applyBorder="1"/>
    <xf numFmtId="0" fontId="2" fillId="3" borderId="12" xfId="0" applyNumberFormat="1" applyFont="1" applyFill="1" applyBorder="1" applyAlignment="1">
      <alignment wrapText="1"/>
    </xf>
    <xf numFmtId="0" fontId="3" fillId="4" borderId="12" xfId="0" applyNumberFormat="1" applyFont="1" applyFill="1" applyBorder="1" applyAlignment="1">
      <alignment horizontal="center" vertical="center" wrapText="1"/>
    </xf>
    <xf numFmtId="164" fontId="0" fillId="0" borderId="12" xfId="0" applyNumberFormat="1" applyFont="1" applyFill="1" applyBorder="1" applyAlignment="1">
      <alignment vertical="top" wrapText="1"/>
    </xf>
    <xf numFmtId="11" fontId="0" fillId="0" borderId="12" xfId="0" applyNumberFormat="1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sterSupplementaryIndex" displayName="MasterSupplementaryIndex" ref="A4:E24">
  <tableColumns count="5">
    <tableColumn id="1" name="Table"/>
    <tableColumn id="2" name="Worksheet"/>
    <tableColumn id="3" name="Title / content"/>
    <tableColumn id="4" name="Analysis stage"/>
    <tableColumn id="5" name="Recor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1A_Genomic_MetadataTable" displayName="S1A_Genomic_MetadataTable" ref="A4:Y20">
  <tableColumns count="25">
    <tableColumn id="1" name="Dataset category"/>
    <tableColumn id="2" name="Genome/sample identifier"/>
    <tableColumn id="3" name="Run accession"/>
    <tableColumn id="4" name="BV-BRC genome ID"/>
    <tableColumn id="5" name="BioProject accession"/>
    <tableColumn id="6" name="BioSample accession"/>
    <tableColumn id="7" name="Assembly accession"/>
    <tableColumn id="8" name="Organism"/>
    <tableColumn id="9" name="Strain/isolate"/>
    <tableColumn id="10" name="Isolation source"/>
    <tableColumn id="11" name="Host"/>
    <tableColumn id="12" name="Host health/clinical information"/>
    <tableColumn id="13" name="Collection date/year"/>
    <tableColumn id="14" name="Country"/>
    <tableColumn id="15" name="Geographic region"/>
    <tableColumn id="16" name="Sequencing platform"/>
    <tableColumn id="17" name="Instrument"/>
    <tableColumn id="18" name="Library layout"/>
    <tableColumn id="19" name="Genome status"/>
    <tableColumn id="20" name="Assembly method"/>
    <tableColumn id="21" name="Genome size (bp)"/>
    <tableColumn id="22" name="Number of contigs"/>
    <tableColumn id="23" name="GC content (%)"/>
    <tableColumn id="24" name="MLST"/>
    <tableColumn id="25" name="Role in stud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1B_RNAseq_MetadataTable" displayName="S1B_RNAseq_MetadataTable" ref="A4:W24">
  <tableColumns count="23">
    <tableColumn id="1" name="Study"/>
    <tableColumn id="2" name="Project sample name"/>
    <tableColumn id="3" name="Run accession"/>
    <tableColumn id="4" name="GEO accession"/>
    <tableColumn id="5" name="BioProject/Study accession"/>
    <tableColumn id="6" name="BioSample accession"/>
    <tableColumn id="7" name="Experiment accession"/>
    <tableColumn id="8" name="Organism"/>
    <tableColumn id="9" name="Strain/isolate"/>
    <tableColumn id="10" name="Experimental condition"/>
    <tableColumn id="11" name="Treatment/comparison"/>
    <tableColumn id="12" name="Replicate/pair"/>
    <tableColumn id="13" name="Sample source/infection"/>
    <tableColumn id="14" name="Growth time"/>
    <tableColumn id="15" name="Assay type"/>
    <tableColumn id="16" name="Library source"/>
    <tableColumn id="17" name="Library selection"/>
    <tableColumn id="18" name="Library layout"/>
    <tableColumn id="19" name="Platform"/>
    <tableColumn id="20" name="Instrument"/>
    <tableColumn id="21" name="Average spot length (bp)"/>
    <tableColumn id="22" name="Total bases"/>
    <tableColumn id="23" name="Role in expression analys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2_QUAST_StatisticsTable" displayName="S2_QUAST_StatisticsTable" ref="A4:W7">
  <tableColumns count="23">
    <tableColumn id="1" name="Genome"/>
    <tableColumn id="2" name="Contigs (≥0 bp)"/>
    <tableColumn id="3" name="Contigs (≥1,000 bp)"/>
    <tableColumn id="4" name="Contigs (≥5,000 bp)"/>
    <tableColumn id="5" name="Contigs (≥10,000 bp)"/>
    <tableColumn id="6" name="Contigs (≥25,000 bp)"/>
    <tableColumn id="7" name="Contigs (≥50,000 bp)"/>
    <tableColumn id="8" name="Total length (≥0 bp)"/>
    <tableColumn id="9" name="Total length (≥1,000 bp)"/>
    <tableColumn id="10" name="Total length (≥5,000 bp)"/>
    <tableColumn id="11" name="Total length (≥10,000 bp)"/>
    <tableColumn id="12" name="Total length (≥25,000 bp)"/>
    <tableColumn id="13" name="Total length (≥50,000 bp)"/>
    <tableColumn id="14" name="Contigs used for main statistics"/>
    <tableColumn id="15" name="Largest contig (bp)"/>
    <tableColumn id="16" name="Total assembly length (bp)"/>
    <tableColumn id="17" name="GC content (%)"/>
    <tableColumn id="18" name="N50 (bp)"/>
    <tableColumn id="19" name="N90 (bp)"/>
    <tableColumn id="20" name="auN"/>
    <tableColumn id="21" name="L50"/>
    <tableColumn id="22" name="L90"/>
    <tableColumn id="23" name="Ambiguous bases per 100 kb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3B_AMR_Gene_PrevalenceTable" displayName="S3B_AMR_Gene_PrevalenceTable" ref="A4:D44">
  <tableColumns count="4">
    <tableColumn id="1" name="AMR gene / CARD best-hit ARO"/>
    <tableColumn id="2" name="Genomes detected (n)"/>
    <tableColumn id="3" name="Prevalence (%)"/>
    <tableColumn id="4" name="Genom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3C_Category_FrequenciesTable" displayName="S3C_Category_FrequenciesTable" ref="A4:C27">
  <tableColumns count="3">
    <tableColumn id="1" name="Category type"/>
    <tableColumn id="2" name="CARD annotation"/>
    <tableColumn id="3" name="Number of RGI hi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4A_GSE40864Table" displayName="S4A_GSE40864Table" ref="A4:K30">
  <tableColumns count="11">
    <tableColumn id="1" name="GeneID"/>
    <tableColumn id="2" name="Locus Tag"/>
    <tableColumn id="3" name="Gene Symbol"/>
    <tableColumn id="4" name="Product"/>
    <tableColumn id="5" name="baseMean"/>
    <tableColumn id="6" name="log2FoldChange"/>
    <tableColumn id="7" name="lfcSE"/>
    <tableColumn id="8" name="stat"/>
    <tableColumn id="9" name="pvalue"/>
    <tableColumn id="10" name="padj"/>
    <tableColumn id="11" name="Regul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4B_GSE121797Table" displayName="S4B_GSE121797Table" ref="A4:K5">
  <tableColumns count="11">
    <tableColumn id="1" name="GeneID"/>
    <tableColumn id="2" name="Locus Tag"/>
    <tableColumn id="3" name="Gene Symbol"/>
    <tableColumn id="4" name="Product"/>
    <tableColumn id="5" name="baseMean"/>
    <tableColumn id="6" name="log2FoldChange"/>
    <tableColumn id="7" name="lfcSE"/>
    <tableColumn id="8" name="stat"/>
    <tableColumn id="9" name="pvalue"/>
    <tableColumn id="10" name="padj"/>
    <tableColumn id="11" name="Regul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0" name="S4CPRJNA1358579Table" displayName="S4CPRJNA1358579Table" ref="A4:K84">
  <tableColumns count="11">
    <tableColumn id="1" name="GeneID"/>
    <tableColumn id="2" name="Locus Tag"/>
    <tableColumn id="3" name="Gene Symbol"/>
    <tableColumn id="4" name="Product"/>
    <tableColumn id="5" name="baseMean"/>
    <tableColumn id="6" name="log2FoldChange"/>
    <tableColumn id="7" name="lfcSE"/>
    <tableColumn id="8" name="stat"/>
    <tableColumn id="9" name="pvalue"/>
    <tableColumn id="10" name="padj"/>
    <tableColumn id="11" name="Regul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S5A_AMR_Presence_AbsenceTable" displayName="S5A_AMR_Presence_AbsenceTable" ref="A4:Q30">
  <tableColumns count="17">
    <tableColumn id="1" name="AMR Gene Family"/>
    <tableColumn id="2" name="0617SA27"/>
    <tableColumn id="3" name="2018"/>
    <tableColumn id="4" name="614E"/>
    <tableColumn id="5" name="9_1a"/>
    <tableColumn id="6" name="AUH_SA_2023_6"/>
    <tableColumn id="7" name="ERR12712640"/>
    <tableColumn id="8" name="ERR12712641"/>
    <tableColumn id="9" name="ERR13347068"/>
    <tableColumn id="10" name="H2_22S00635-1"/>
    <tableColumn id="11" name="IL-064N"/>
    <tableColumn id="12" name="IPD029-1"/>
    <tableColumn id="13" name="JARB-OU3000"/>
    <tableColumn id="14" name="KWT_2020"/>
    <tableColumn id="15" name="MRSA_MG10"/>
    <tableColumn id="16" name="PD005"/>
    <tableColumn id="17" name="sa230502_barcode2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0" name="S5B_AMR_PangenomeTable" displayName="S5B_AMR_PangenomeTable" ref="A4:E14">
  <tableColumns count="5">
    <tableColumn id="1" name="AMR Gene"/>
    <tableColumn id="2" name="No. of Genomes"/>
    <tableColumn id="3" name="Pan-genome Category"/>
    <tableColumn id="4" name="Drug Class"/>
    <tableColumn id="5" name="Resistance Mechanis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1" name="S6A_IslandViewerTable" displayName="S6A_IslandViewerTable" ref="A4:D7">
  <tableColumns count="4">
    <tableColumn id="1" name="Genome"/>
    <tableColumn id="2" name="Predicted genomic islands (n)"/>
    <tableColumn id="3" name="AMR genes within islands"/>
    <tableColumn id="4" name="Virulence genes within island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2" name="S6B_SCCmecFinderTable" displayName="S6B_SCCmecFinderTable" ref="A4:C7">
  <tableColumns count="3">
    <tableColumn id="1" name="Genome"/>
    <tableColumn id="2" name="SCCmec type"/>
    <tableColumn id="3" name="mec complex / sub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3" name="S6C_MobileElementFinderTable" displayName="S6C_MobileElementFinderTable" ref="A4:D13">
  <tableColumns count="4">
    <tableColumn id="1" name="Genome"/>
    <tableColumn id="2" name="Element class"/>
    <tableColumn id="3" name="Element"/>
    <tableColumn id="4" name="Copi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4" name="S6D_Combined_ContextTable" displayName="S6D_Combined_ContextTable" ref="A4:F7">
  <tableColumns count="6">
    <tableColumn id="1" name="Genome"/>
    <tableColumn id="2" name="Predicted genomic islands (n)"/>
    <tableColumn id="3" name="AMR genes in islands"/>
    <tableColumn id="4" name="SCCmec type"/>
    <tableColumn id="5" name="Mobile elements"/>
    <tableColumn id="6" name="Interpret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5" name="S7_InterPro_SummaryTable" displayName="S7_InterPro_SummaryTable" ref="A4:J11">
  <tableColumns count="10">
    <tableColumn id="1" name="Gene"/>
    <tableColumn id="2" name="Resistance mechanism"/>
    <tableColumn id="3" name="Representative protein"/>
    <tableColumn id="4" name="Protein family"/>
    <tableColumn id="5" name="Key domain"/>
    <tableColumn id="6" name="InterPro ID"/>
    <tableColumn id="7" name="InterPro description"/>
    <tableColumn id="8" name="GO terms"/>
    <tableColumn id="9" name="Important pathway"/>
    <tableColumn id="10" name="Membrane featu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6" name="S8A_GO_EnrichmentTable" displayName="S8A_GO_EnrichmentTable" ref="A4:J7">
  <tableColumns count="10">
    <tableColumn id="1" name="GO ID"/>
    <tableColumn id="2" name="Ontology"/>
    <tableColumn id="3" name="Description"/>
    <tableColumn id="4" name="Gene ratio"/>
    <tableColumn id="5" name="Background ratio"/>
    <tableColumn id="6" name="Fold enrichment"/>
    <tableColumn id="7" name="Adjusted p-value"/>
    <tableColumn id="8" name="Gene count"/>
    <tableColumn id="9" name="Gene IDs"/>
    <tableColumn id="10" name="Significanc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7" name="S8B_Enriched_Gene_MappingTable" displayName="S8B_Enriched_Gene_MappingTable" ref="A4:C19">
  <tableColumns count="3">
    <tableColumn id="1" name="GO ID"/>
    <tableColumn id="2" name="Description"/>
    <tableColumn id="3" name="Gene 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8" name="S9_Integrated_AMR_EvidenceTable" displayName="S9_Integrated_AMR_EvidenceTable" ref="A4:J11">
  <tableColumns count="10">
    <tableColumn id="1" name="Gene"/>
    <tableColumn id="2" name="RGI mechanism"/>
    <tableColumn id="3" name="Panaroo status"/>
    <tableColumn id="4" name="RNA expression"/>
    <tableColumn id="5" name="InterPro family"/>
    <tableColumn id="6" name="Key domain"/>
    <tableColumn id="7" name="SCCmec association"/>
    <tableColumn id="8" name="Genomic island"/>
    <tableColumn id="9" name="Mobile element"/>
    <tableColumn id="10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RowHeight="13.8"/>
  <cols>
    <col min="1" max="1" width="10" customWidth="1"/>
    <col min="2" max="2" width="31" customWidth="1"/>
    <col min="3" max="3" width="62" customWidth="1"/>
    <col min="4" max="4" width="24" customWidth="1"/>
    <col min="5" max="5" width="12" customWidth="1"/>
  </cols>
  <sheetData>
    <row r="1" spans="1:5" ht="22.35" customHeight="1">
      <c r="A1" s="19" t="s">
        <v>0</v>
      </c>
      <c r="B1" s="19"/>
      <c r="C1" s="19"/>
      <c r="D1" s="19"/>
      <c r="E1" s="19"/>
    </row>
    <row r="2" spans="1:5" ht="30.45" customHeight="1">
      <c r="A2" s="20" t="s">
        <v>1</v>
      </c>
      <c r="B2" s="20"/>
      <c r="C2" s="20"/>
      <c r="D2" s="20"/>
      <c r="E2" s="20"/>
    </row>
    <row r="4" spans="1:5" ht="28.8" customHeight="1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</row>
    <row r="5" spans="1:5">
      <c r="A5" s="5" t="s">
        <v>7</v>
      </c>
      <c r="B5" s="6" t="s">
        <v>8</v>
      </c>
      <c r="C5" s="6" t="s">
        <v>9</v>
      </c>
      <c r="D5" s="6" t="s">
        <v>10</v>
      </c>
      <c r="E5" s="7">
        <v>16</v>
      </c>
    </row>
    <row r="6" spans="1:5">
      <c r="A6" s="8" t="s">
        <v>11</v>
      </c>
      <c r="B6" s="9" t="s">
        <v>12</v>
      </c>
      <c r="C6" s="9" t="s">
        <v>13</v>
      </c>
      <c r="D6" s="9" t="s">
        <v>10</v>
      </c>
      <c r="E6" s="10">
        <v>20</v>
      </c>
    </row>
    <row r="7" spans="1:5">
      <c r="A7" s="8" t="s">
        <v>14</v>
      </c>
      <c r="B7" s="9" t="s">
        <v>15</v>
      </c>
      <c r="C7" s="9" t="s">
        <v>16</v>
      </c>
      <c r="D7" s="9" t="s">
        <v>17</v>
      </c>
      <c r="E7" s="10">
        <v>3</v>
      </c>
    </row>
    <row r="8" spans="1:5">
      <c r="A8" s="8" t="s">
        <v>18</v>
      </c>
      <c r="B8" s="9" t="s">
        <v>19</v>
      </c>
      <c r="C8" s="9" t="s">
        <v>20</v>
      </c>
      <c r="D8" s="9" t="s">
        <v>21</v>
      </c>
      <c r="E8" s="10">
        <v>338</v>
      </c>
    </row>
    <row r="9" spans="1:5">
      <c r="A9" s="8" t="s">
        <v>22</v>
      </c>
      <c r="B9" s="9" t="s">
        <v>23</v>
      </c>
      <c r="C9" s="9" t="s">
        <v>24</v>
      </c>
      <c r="D9" s="9" t="s">
        <v>21</v>
      </c>
      <c r="E9" s="10">
        <v>40</v>
      </c>
    </row>
    <row r="10" spans="1:5">
      <c r="A10" s="8" t="s">
        <v>25</v>
      </c>
      <c r="B10" s="9" t="s">
        <v>26</v>
      </c>
      <c r="C10" s="9" t="s">
        <v>27</v>
      </c>
      <c r="D10" s="9" t="s">
        <v>28</v>
      </c>
      <c r="E10" s="10">
        <v>23</v>
      </c>
    </row>
    <row r="11" spans="1:5">
      <c r="A11" s="8" t="s">
        <v>29</v>
      </c>
      <c r="B11" s="9" t="s">
        <v>30</v>
      </c>
      <c r="C11" s="9" t="s">
        <v>31</v>
      </c>
      <c r="D11" s="9" t="s">
        <v>32</v>
      </c>
      <c r="E11" s="10">
        <v>26</v>
      </c>
    </row>
    <row r="12" spans="1:5">
      <c r="A12" s="8" t="s">
        <v>33</v>
      </c>
      <c r="B12" s="9" t="s">
        <v>34</v>
      </c>
      <c r="C12" s="9" t="s">
        <v>35</v>
      </c>
      <c r="D12" s="9" t="s">
        <v>32</v>
      </c>
      <c r="E12" s="10">
        <v>1</v>
      </c>
    </row>
    <row r="13" spans="1:5">
      <c r="A13" s="8" t="s">
        <v>36</v>
      </c>
      <c r="B13" s="9" t="s">
        <v>37</v>
      </c>
      <c r="C13" s="9" t="s">
        <v>38</v>
      </c>
      <c r="D13" s="9" t="s">
        <v>32</v>
      </c>
      <c r="E13" s="10">
        <v>80</v>
      </c>
    </row>
    <row r="14" spans="1:5">
      <c r="A14" s="8" t="s">
        <v>39</v>
      </c>
      <c r="B14" s="9" t="s">
        <v>40</v>
      </c>
      <c r="C14" s="9" t="s">
        <v>41</v>
      </c>
      <c r="D14" s="9" t="s">
        <v>42</v>
      </c>
      <c r="E14" s="10">
        <v>26</v>
      </c>
    </row>
    <row r="15" spans="1:5">
      <c r="A15" s="8" t="s">
        <v>43</v>
      </c>
      <c r="B15" s="9" t="s">
        <v>44</v>
      </c>
      <c r="C15" s="9" t="s">
        <v>45</v>
      </c>
      <c r="D15" s="9" t="s">
        <v>42</v>
      </c>
      <c r="E15" s="10">
        <v>10</v>
      </c>
    </row>
    <row r="16" spans="1:5">
      <c r="A16" s="8" t="s">
        <v>46</v>
      </c>
      <c r="B16" s="9" t="s">
        <v>47</v>
      </c>
      <c r="C16" s="9" t="s">
        <v>48</v>
      </c>
      <c r="D16" s="9" t="s">
        <v>49</v>
      </c>
      <c r="E16" s="10">
        <v>3</v>
      </c>
    </row>
    <row r="17" spans="1:5">
      <c r="A17" s="8" t="s">
        <v>50</v>
      </c>
      <c r="B17" s="9" t="s">
        <v>51</v>
      </c>
      <c r="C17" s="9" t="s">
        <v>52</v>
      </c>
      <c r="D17" s="9" t="s">
        <v>49</v>
      </c>
      <c r="E17" s="10">
        <v>3</v>
      </c>
    </row>
    <row r="18" spans="1:5">
      <c r="A18" s="8" t="s">
        <v>53</v>
      </c>
      <c r="B18" s="9" t="s">
        <v>54</v>
      </c>
      <c r="C18" s="9" t="s">
        <v>55</v>
      </c>
      <c r="D18" s="9" t="s">
        <v>49</v>
      </c>
      <c r="E18" s="10">
        <v>9</v>
      </c>
    </row>
    <row r="19" spans="1:5">
      <c r="A19" s="8" t="s">
        <v>56</v>
      </c>
      <c r="B19" s="9" t="s">
        <v>57</v>
      </c>
      <c r="C19" s="9" t="s">
        <v>58</v>
      </c>
      <c r="D19" s="9" t="s">
        <v>49</v>
      </c>
      <c r="E19" s="10">
        <v>3</v>
      </c>
    </row>
    <row r="20" spans="1:5">
      <c r="A20" s="8" t="s">
        <v>59</v>
      </c>
      <c r="B20" s="9" t="s">
        <v>60</v>
      </c>
      <c r="C20" s="9" t="s">
        <v>61</v>
      </c>
      <c r="D20" s="9" t="s">
        <v>62</v>
      </c>
      <c r="E20" s="10">
        <v>7</v>
      </c>
    </row>
    <row r="21" spans="1:5">
      <c r="A21" s="8" t="s">
        <v>63</v>
      </c>
      <c r="B21" s="9" t="s">
        <v>64</v>
      </c>
      <c r="C21" s="9" t="s">
        <v>65</v>
      </c>
      <c r="D21" s="9" t="s">
        <v>66</v>
      </c>
      <c r="E21" s="10">
        <v>3</v>
      </c>
    </row>
    <row r="22" spans="1:5">
      <c r="A22" s="8" t="s">
        <v>67</v>
      </c>
      <c r="B22" s="9" t="s">
        <v>68</v>
      </c>
      <c r="C22" s="9" t="s">
        <v>69</v>
      </c>
      <c r="D22" s="9" t="s">
        <v>66</v>
      </c>
      <c r="E22" s="10">
        <v>15</v>
      </c>
    </row>
    <row r="23" spans="1:5">
      <c r="A23" s="8" t="s">
        <v>70</v>
      </c>
      <c r="B23" s="9" t="s">
        <v>71</v>
      </c>
      <c r="C23" s="9" t="s">
        <v>72</v>
      </c>
      <c r="D23" s="9" t="s">
        <v>73</v>
      </c>
      <c r="E23" s="10">
        <v>7</v>
      </c>
    </row>
    <row r="24" spans="1:5">
      <c r="A24" s="11" t="s">
        <v>74</v>
      </c>
      <c r="B24" s="12" t="s">
        <v>75</v>
      </c>
      <c r="C24" s="12" t="s">
        <v>76</v>
      </c>
      <c r="D24" s="12" t="s">
        <v>77</v>
      </c>
      <c r="E24" s="13">
        <v>27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topLeftCell="A11" workbookViewId="0">
      <selection activeCell="B20" sqref="B20"/>
    </sheetView>
  </sheetViews>
  <sheetFormatPr defaultRowHeight="13.8"/>
  <cols>
    <col min="1" max="1" width="22" customWidth="1"/>
    <col min="2" max="8" width="16" customWidth="1"/>
    <col min="9" max="25" width="22" customWidth="1"/>
  </cols>
  <sheetData>
    <row r="1" spans="1:25" ht="20.85" customHeight="1">
      <c r="A1" s="15" t="s">
        <v>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30.45" customHeight="1">
      <c r="A2" s="21" t="s">
        <v>909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4" spans="1:25" ht="31.95" customHeight="1">
      <c r="A4" s="2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86</v>
      </c>
      <c r="I4" s="3" t="s">
        <v>87</v>
      </c>
      <c r="J4" s="3" t="s">
        <v>88</v>
      </c>
      <c r="K4" s="3" t="s">
        <v>89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  <c r="R4" s="3" t="s">
        <v>96</v>
      </c>
      <c r="S4" s="3" t="s">
        <v>97</v>
      </c>
      <c r="T4" s="3" t="s">
        <v>98</v>
      </c>
      <c r="U4" s="3" t="s">
        <v>99</v>
      </c>
      <c r="V4" s="3" t="s">
        <v>100</v>
      </c>
      <c r="W4" s="3" t="s">
        <v>101</v>
      </c>
      <c r="X4" s="3" t="s">
        <v>102</v>
      </c>
      <c r="Y4" s="4" t="s">
        <v>103</v>
      </c>
    </row>
    <row r="5" spans="1:25" ht="41.4">
      <c r="A5" s="5" t="s">
        <v>104</v>
      </c>
      <c r="B5" s="6" t="s">
        <v>105</v>
      </c>
      <c r="C5" s="6" t="s">
        <v>105</v>
      </c>
      <c r="D5" s="6" t="s">
        <v>106</v>
      </c>
      <c r="E5" s="6" t="s">
        <v>107</v>
      </c>
      <c r="F5" s="6" t="s">
        <v>108</v>
      </c>
      <c r="G5" s="6" t="s">
        <v>106</v>
      </c>
      <c r="H5" s="6" t="s">
        <v>109</v>
      </c>
      <c r="I5" s="6" t="s">
        <v>110</v>
      </c>
      <c r="J5" s="6" t="s">
        <v>106</v>
      </c>
      <c r="K5" s="6" t="s">
        <v>106</v>
      </c>
      <c r="L5" s="6" t="s">
        <v>106</v>
      </c>
      <c r="M5" s="6" t="s">
        <v>111</v>
      </c>
      <c r="N5" s="6" t="s">
        <v>112</v>
      </c>
      <c r="O5" s="6" t="s">
        <v>113</v>
      </c>
      <c r="P5" s="6" t="s">
        <v>114</v>
      </c>
      <c r="Q5" s="6" t="s">
        <v>115</v>
      </c>
      <c r="R5" s="6" t="s">
        <v>116</v>
      </c>
      <c r="S5" s="6" t="s">
        <v>117</v>
      </c>
      <c r="T5" s="6" t="s">
        <v>118</v>
      </c>
      <c r="U5" s="6" t="s">
        <v>106</v>
      </c>
      <c r="V5" s="6" t="s">
        <v>106</v>
      </c>
      <c r="W5" s="6" t="s">
        <v>106</v>
      </c>
      <c r="X5" s="6" t="s">
        <v>106</v>
      </c>
      <c r="Y5" s="7" t="s">
        <v>119</v>
      </c>
    </row>
    <row r="6" spans="1:25" ht="41.4">
      <c r="A6" s="8" t="s">
        <v>104</v>
      </c>
      <c r="B6" s="9" t="s">
        <v>120</v>
      </c>
      <c r="C6" s="9" t="s">
        <v>120</v>
      </c>
      <c r="D6" s="9" t="s">
        <v>106</v>
      </c>
      <c r="E6" s="9" t="s">
        <v>121</v>
      </c>
      <c r="F6" s="9" t="s">
        <v>122</v>
      </c>
      <c r="G6" s="9" t="s">
        <v>106</v>
      </c>
      <c r="H6" s="9" t="s">
        <v>109</v>
      </c>
      <c r="I6" s="9" t="s">
        <v>123</v>
      </c>
      <c r="J6" s="9" t="s">
        <v>124</v>
      </c>
      <c r="K6" s="9" t="s">
        <v>125</v>
      </c>
      <c r="L6" s="9" t="s">
        <v>126</v>
      </c>
      <c r="M6" s="9" t="s">
        <v>127</v>
      </c>
      <c r="N6" s="9" t="s">
        <v>128</v>
      </c>
      <c r="O6" s="9" t="s">
        <v>113</v>
      </c>
      <c r="P6" s="9" t="s">
        <v>114</v>
      </c>
      <c r="Q6" s="9" t="s">
        <v>129</v>
      </c>
      <c r="R6" s="9" t="s">
        <v>116</v>
      </c>
      <c r="S6" s="9" t="s">
        <v>117</v>
      </c>
      <c r="T6" s="9" t="s">
        <v>118</v>
      </c>
      <c r="U6" s="9" t="s">
        <v>106</v>
      </c>
      <c r="V6" s="9" t="s">
        <v>106</v>
      </c>
      <c r="W6" s="9" t="s">
        <v>106</v>
      </c>
      <c r="X6" s="9" t="s">
        <v>106</v>
      </c>
      <c r="Y6" s="10" t="s">
        <v>119</v>
      </c>
    </row>
    <row r="7" spans="1:25" ht="41.4">
      <c r="A7" s="8" t="s">
        <v>104</v>
      </c>
      <c r="B7" s="9" t="s">
        <v>130</v>
      </c>
      <c r="C7" s="9" t="s">
        <v>130</v>
      </c>
      <c r="D7" s="9" t="s">
        <v>106</v>
      </c>
      <c r="E7" s="9" t="s">
        <v>121</v>
      </c>
      <c r="F7" s="9" t="s">
        <v>131</v>
      </c>
      <c r="G7" s="9" t="s">
        <v>106</v>
      </c>
      <c r="H7" s="9" t="s">
        <v>109</v>
      </c>
      <c r="I7" s="9" t="s">
        <v>132</v>
      </c>
      <c r="J7" s="9" t="s">
        <v>124</v>
      </c>
      <c r="K7" s="9" t="s">
        <v>125</v>
      </c>
      <c r="L7" s="9" t="s">
        <v>126</v>
      </c>
      <c r="M7" s="9" t="s">
        <v>133</v>
      </c>
      <c r="N7" s="9" t="s">
        <v>128</v>
      </c>
      <c r="O7" s="9" t="s">
        <v>113</v>
      </c>
      <c r="P7" s="9" t="s">
        <v>114</v>
      </c>
      <c r="Q7" s="9" t="s">
        <v>129</v>
      </c>
      <c r="R7" s="9" t="s">
        <v>116</v>
      </c>
      <c r="S7" s="9" t="s">
        <v>117</v>
      </c>
      <c r="T7" s="9" t="s">
        <v>118</v>
      </c>
      <c r="U7" s="9" t="s">
        <v>106</v>
      </c>
      <c r="V7" s="9" t="s">
        <v>106</v>
      </c>
      <c r="W7" s="9" t="s">
        <v>106</v>
      </c>
      <c r="X7" s="9" t="s">
        <v>106</v>
      </c>
      <c r="Y7" s="10" t="s">
        <v>119</v>
      </c>
    </row>
    <row r="8" spans="1:25" ht="41.4">
      <c r="A8" s="8" t="s">
        <v>134</v>
      </c>
      <c r="B8" s="9" t="s">
        <v>135</v>
      </c>
      <c r="C8" s="9" t="s">
        <v>106</v>
      </c>
      <c r="D8" s="9" t="s">
        <v>136</v>
      </c>
      <c r="E8" s="9" t="s">
        <v>137</v>
      </c>
      <c r="F8" s="9" t="s">
        <v>138</v>
      </c>
      <c r="G8" s="9" t="s">
        <v>139</v>
      </c>
      <c r="H8" s="9" t="s">
        <v>109</v>
      </c>
      <c r="I8" s="9" t="s">
        <v>135</v>
      </c>
      <c r="J8" s="9" t="s">
        <v>140</v>
      </c>
      <c r="K8" s="9" t="s">
        <v>141</v>
      </c>
      <c r="L8" s="9" t="s">
        <v>142</v>
      </c>
      <c r="M8" s="9" t="s">
        <v>143</v>
      </c>
      <c r="N8" s="9" t="s">
        <v>144</v>
      </c>
      <c r="O8" s="9" t="s">
        <v>113</v>
      </c>
      <c r="P8" s="9" t="s">
        <v>145</v>
      </c>
      <c r="Q8" s="9" t="s">
        <v>106</v>
      </c>
      <c r="R8" s="9" t="s">
        <v>106</v>
      </c>
      <c r="S8" s="9" t="s">
        <v>146</v>
      </c>
      <c r="T8" s="9" t="s">
        <v>147</v>
      </c>
      <c r="U8" s="9" t="s">
        <v>148</v>
      </c>
      <c r="V8" s="9" t="s">
        <v>149</v>
      </c>
      <c r="W8" s="9" t="s">
        <v>150</v>
      </c>
      <c r="X8" s="9" t="s">
        <v>151</v>
      </c>
      <c r="Y8" s="10" t="s">
        <v>152</v>
      </c>
    </row>
    <row r="9" spans="1:25" ht="41.4">
      <c r="A9" s="8" t="s">
        <v>134</v>
      </c>
      <c r="B9" s="9" t="s">
        <v>153</v>
      </c>
      <c r="C9" s="9" t="s">
        <v>106</v>
      </c>
      <c r="D9" s="9" t="s">
        <v>154</v>
      </c>
      <c r="E9" s="9" t="s">
        <v>155</v>
      </c>
      <c r="F9" s="9" t="s">
        <v>156</v>
      </c>
      <c r="G9" s="9" t="s">
        <v>157</v>
      </c>
      <c r="H9" s="9" t="s">
        <v>109</v>
      </c>
      <c r="I9" s="9" t="s">
        <v>153</v>
      </c>
      <c r="J9" s="9" t="s">
        <v>158</v>
      </c>
      <c r="K9" s="9" t="s">
        <v>141</v>
      </c>
      <c r="L9" s="9" t="s">
        <v>106</v>
      </c>
      <c r="M9" s="9" t="s">
        <v>159</v>
      </c>
      <c r="N9" s="9" t="s">
        <v>160</v>
      </c>
      <c r="O9" s="9" t="s">
        <v>161</v>
      </c>
      <c r="P9" s="9" t="s">
        <v>145</v>
      </c>
      <c r="Q9" s="9" t="s">
        <v>106</v>
      </c>
      <c r="R9" s="9" t="s">
        <v>106</v>
      </c>
      <c r="S9" s="9" t="s">
        <v>146</v>
      </c>
      <c r="T9" s="9" t="s">
        <v>162</v>
      </c>
      <c r="U9" s="9" t="s">
        <v>163</v>
      </c>
      <c r="V9" s="9" t="s">
        <v>164</v>
      </c>
      <c r="W9" s="9" t="s">
        <v>165</v>
      </c>
      <c r="X9" s="9" t="s">
        <v>166</v>
      </c>
      <c r="Y9" s="10" t="s">
        <v>152</v>
      </c>
    </row>
    <row r="10" spans="1:25" ht="41.4">
      <c r="A10" s="8" t="s">
        <v>134</v>
      </c>
      <c r="B10" s="9" t="s">
        <v>167</v>
      </c>
      <c r="C10" s="9" t="s">
        <v>106</v>
      </c>
      <c r="D10" s="9" t="s">
        <v>168</v>
      </c>
      <c r="E10" s="9" t="s">
        <v>169</v>
      </c>
      <c r="F10" s="9" t="s">
        <v>170</v>
      </c>
      <c r="G10" s="9" t="s">
        <v>106</v>
      </c>
      <c r="H10" s="9" t="s">
        <v>109</v>
      </c>
      <c r="I10" s="9" t="s">
        <v>167</v>
      </c>
      <c r="J10" s="9" t="s">
        <v>171</v>
      </c>
      <c r="K10" s="9" t="s">
        <v>141</v>
      </c>
      <c r="L10" s="9" t="s">
        <v>172</v>
      </c>
      <c r="M10" s="9" t="s">
        <v>173</v>
      </c>
      <c r="N10" s="9" t="s">
        <v>174</v>
      </c>
      <c r="O10" s="9" t="s">
        <v>175</v>
      </c>
      <c r="P10" s="9" t="s">
        <v>176</v>
      </c>
      <c r="Q10" s="9" t="s">
        <v>106</v>
      </c>
      <c r="R10" s="9" t="s">
        <v>106</v>
      </c>
      <c r="S10" s="9" t="s">
        <v>146</v>
      </c>
      <c r="T10" s="9" t="s">
        <v>177</v>
      </c>
      <c r="U10" s="9" t="s">
        <v>178</v>
      </c>
      <c r="V10" s="9" t="s">
        <v>164</v>
      </c>
      <c r="W10" s="9" t="s">
        <v>179</v>
      </c>
      <c r="X10" s="9" t="s">
        <v>180</v>
      </c>
      <c r="Y10" s="10" t="s">
        <v>152</v>
      </c>
    </row>
    <row r="11" spans="1:25" ht="41.4">
      <c r="A11" s="8" t="s">
        <v>134</v>
      </c>
      <c r="B11" s="9" t="s">
        <v>181</v>
      </c>
      <c r="C11" s="9" t="s">
        <v>106</v>
      </c>
      <c r="D11" s="9" t="s">
        <v>182</v>
      </c>
      <c r="E11" s="9" t="s">
        <v>183</v>
      </c>
      <c r="F11" s="9" t="s">
        <v>184</v>
      </c>
      <c r="G11" s="9" t="s">
        <v>106</v>
      </c>
      <c r="H11" s="9" t="s">
        <v>109</v>
      </c>
      <c r="I11" s="9" t="s">
        <v>181</v>
      </c>
      <c r="J11" s="9" t="s">
        <v>185</v>
      </c>
      <c r="K11" s="9" t="s">
        <v>141</v>
      </c>
      <c r="L11" s="9" t="s">
        <v>106</v>
      </c>
      <c r="M11" s="9" t="s">
        <v>186</v>
      </c>
      <c r="N11" s="9" t="s">
        <v>187</v>
      </c>
      <c r="O11" s="9" t="s">
        <v>113</v>
      </c>
      <c r="P11" s="9" t="s">
        <v>106</v>
      </c>
      <c r="Q11" s="9" t="s">
        <v>106</v>
      </c>
      <c r="R11" s="9" t="s">
        <v>106</v>
      </c>
      <c r="S11" s="9" t="s">
        <v>146</v>
      </c>
      <c r="T11" s="9" t="s">
        <v>106</v>
      </c>
      <c r="U11" s="9" t="s">
        <v>188</v>
      </c>
      <c r="V11" s="9" t="s">
        <v>149</v>
      </c>
      <c r="W11" s="9" t="s">
        <v>189</v>
      </c>
      <c r="X11" s="9" t="s">
        <v>190</v>
      </c>
      <c r="Y11" s="10" t="s">
        <v>152</v>
      </c>
    </row>
    <row r="12" spans="1:25" ht="41.4">
      <c r="A12" s="8" t="s">
        <v>134</v>
      </c>
      <c r="B12" s="9" t="s">
        <v>191</v>
      </c>
      <c r="C12" s="9" t="s">
        <v>106</v>
      </c>
      <c r="D12" s="9" t="s">
        <v>192</v>
      </c>
      <c r="E12" s="9" t="s">
        <v>193</v>
      </c>
      <c r="F12" s="9" t="s">
        <v>194</v>
      </c>
      <c r="G12" s="9" t="s">
        <v>106</v>
      </c>
      <c r="H12" s="9" t="s">
        <v>109</v>
      </c>
      <c r="I12" s="9" t="s">
        <v>191</v>
      </c>
      <c r="J12" s="9" t="s">
        <v>195</v>
      </c>
      <c r="K12" s="9" t="s">
        <v>141</v>
      </c>
      <c r="L12" s="9" t="s">
        <v>109</v>
      </c>
      <c r="M12" s="9" t="s">
        <v>196</v>
      </c>
      <c r="N12" s="9" t="s">
        <v>197</v>
      </c>
      <c r="O12" s="9" t="s">
        <v>113</v>
      </c>
      <c r="P12" s="9" t="s">
        <v>145</v>
      </c>
      <c r="Q12" s="9" t="s">
        <v>106</v>
      </c>
      <c r="R12" s="9" t="s">
        <v>106</v>
      </c>
      <c r="S12" s="9" t="s">
        <v>146</v>
      </c>
      <c r="T12" s="9" t="s">
        <v>147</v>
      </c>
      <c r="U12" s="9" t="s">
        <v>198</v>
      </c>
      <c r="V12" s="9" t="s">
        <v>199</v>
      </c>
      <c r="W12" s="9" t="s">
        <v>200</v>
      </c>
      <c r="X12" s="9" t="s">
        <v>201</v>
      </c>
      <c r="Y12" s="10" t="s">
        <v>152</v>
      </c>
    </row>
    <row r="13" spans="1:25" ht="41.4">
      <c r="A13" s="8" t="s">
        <v>134</v>
      </c>
      <c r="B13" s="9" t="s">
        <v>202</v>
      </c>
      <c r="C13" s="9" t="s">
        <v>106</v>
      </c>
      <c r="D13" s="9" t="s">
        <v>203</v>
      </c>
      <c r="E13" s="9" t="s">
        <v>204</v>
      </c>
      <c r="F13" s="9" t="s">
        <v>205</v>
      </c>
      <c r="G13" s="9" t="s">
        <v>106</v>
      </c>
      <c r="H13" s="9" t="s">
        <v>109</v>
      </c>
      <c r="I13" s="9" t="s">
        <v>202</v>
      </c>
      <c r="J13" s="9" t="s">
        <v>206</v>
      </c>
      <c r="K13" s="9" t="s">
        <v>141</v>
      </c>
      <c r="L13" s="9" t="s">
        <v>207</v>
      </c>
      <c r="M13" s="9" t="s">
        <v>143</v>
      </c>
      <c r="N13" s="9" t="s">
        <v>208</v>
      </c>
      <c r="O13" s="9" t="s">
        <v>209</v>
      </c>
      <c r="P13" s="9" t="s">
        <v>145</v>
      </c>
      <c r="Q13" s="9" t="s">
        <v>106</v>
      </c>
      <c r="R13" s="9" t="s">
        <v>106</v>
      </c>
      <c r="S13" s="9" t="s">
        <v>146</v>
      </c>
      <c r="T13" s="9" t="s">
        <v>210</v>
      </c>
      <c r="U13" s="9" t="s">
        <v>211</v>
      </c>
      <c r="V13" s="9" t="s">
        <v>149</v>
      </c>
      <c r="W13" s="9" t="s">
        <v>212</v>
      </c>
      <c r="X13" s="9" t="s">
        <v>213</v>
      </c>
      <c r="Y13" s="10" t="s">
        <v>152</v>
      </c>
    </row>
    <row r="14" spans="1:25" ht="41.4">
      <c r="A14" s="8" t="s">
        <v>134</v>
      </c>
      <c r="B14" s="9" t="s">
        <v>214</v>
      </c>
      <c r="C14" s="9" t="s">
        <v>106</v>
      </c>
      <c r="D14" s="9" t="s">
        <v>215</v>
      </c>
      <c r="E14" s="9" t="s">
        <v>216</v>
      </c>
      <c r="F14" s="9" t="s">
        <v>217</v>
      </c>
      <c r="G14" s="9" t="s">
        <v>106</v>
      </c>
      <c r="H14" s="9" t="s">
        <v>109</v>
      </c>
      <c r="I14" s="9" t="s">
        <v>214</v>
      </c>
      <c r="J14" s="9" t="s">
        <v>218</v>
      </c>
      <c r="K14" s="9" t="s">
        <v>141</v>
      </c>
      <c r="L14" s="9" t="s">
        <v>219</v>
      </c>
      <c r="M14" s="9" t="s">
        <v>143</v>
      </c>
      <c r="N14" s="9" t="s">
        <v>220</v>
      </c>
      <c r="O14" s="9" t="s">
        <v>175</v>
      </c>
      <c r="P14" s="9" t="s">
        <v>221</v>
      </c>
      <c r="Q14" s="9" t="s">
        <v>106</v>
      </c>
      <c r="R14" s="9" t="s">
        <v>106</v>
      </c>
      <c r="S14" s="9" t="s">
        <v>146</v>
      </c>
      <c r="T14" s="9" t="s">
        <v>222</v>
      </c>
      <c r="U14" s="9" t="s">
        <v>223</v>
      </c>
      <c r="V14" s="9" t="s">
        <v>199</v>
      </c>
      <c r="W14" s="9" t="s">
        <v>224</v>
      </c>
      <c r="X14" s="9" t="s">
        <v>225</v>
      </c>
      <c r="Y14" s="10" t="s">
        <v>152</v>
      </c>
    </row>
    <row r="15" spans="1:25" ht="41.4">
      <c r="A15" s="8" t="s">
        <v>134</v>
      </c>
      <c r="B15" s="9" t="s">
        <v>226</v>
      </c>
      <c r="C15" s="9" t="s">
        <v>106</v>
      </c>
      <c r="D15" s="9" t="s">
        <v>227</v>
      </c>
      <c r="E15" s="9" t="s">
        <v>228</v>
      </c>
      <c r="F15" s="9" t="s">
        <v>229</v>
      </c>
      <c r="G15" s="9" t="s">
        <v>106</v>
      </c>
      <c r="H15" s="9" t="s">
        <v>109</v>
      </c>
      <c r="I15" s="9" t="s">
        <v>226</v>
      </c>
      <c r="J15" s="9" t="s">
        <v>230</v>
      </c>
      <c r="K15" s="9" t="s">
        <v>141</v>
      </c>
      <c r="L15" s="9" t="s">
        <v>106</v>
      </c>
      <c r="M15" s="9" t="s">
        <v>231</v>
      </c>
      <c r="N15" s="9" t="s">
        <v>232</v>
      </c>
      <c r="O15" s="9" t="s">
        <v>161</v>
      </c>
      <c r="P15" s="9" t="s">
        <v>233</v>
      </c>
      <c r="Q15" s="9" t="s">
        <v>106</v>
      </c>
      <c r="R15" s="9" t="s">
        <v>106</v>
      </c>
      <c r="S15" s="9" t="s">
        <v>146</v>
      </c>
      <c r="T15" s="9" t="s">
        <v>234</v>
      </c>
      <c r="U15" s="9" t="s">
        <v>235</v>
      </c>
      <c r="V15" s="9" t="s">
        <v>149</v>
      </c>
      <c r="W15" s="9" t="s">
        <v>236</v>
      </c>
      <c r="X15" s="9" t="s">
        <v>237</v>
      </c>
      <c r="Y15" s="10" t="s">
        <v>152</v>
      </c>
    </row>
    <row r="16" spans="1:25" ht="41.4">
      <c r="A16" s="8" t="s">
        <v>134</v>
      </c>
      <c r="B16" s="9" t="s">
        <v>238</v>
      </c>
      <c r="C16" s="9" t="s">
        <v>106</v>
      </c>
      <c r="D16" s="9" t="s">
        <v>239</v>
      </c>
      <c r="E16" s="9" t="s">
        <v>240</v>
      </c>
      <c r="F16" s="9" t="s">
        <v>241</v>
      </c>
      <c r="G16" s="9" t="s">
        <v>106</v>
      </c>
      <c r="H16" s="9" t="s">
        <v>109</v>
      </c>
      <c r="I16" s="9" t="s">
        <v>238</v>
      </c>
      <c r="J16" s="9" t="s">
        <v>242</v>
      </c>
      <c r="K16" s="9" t="s">
        <v>141</v>
      </c>
      <c r="L16" s="9" t="s">
        <v>242</v>
      </c>
      <c r="M16" s="9" t="s">
        <v>243</v>
      </c>
      <c r="N16" s="9" t="s">
        <v>244</v>
      </c>
      <c r="O16" s="9" t="s">
        <v>161</v>
      </c>
      <c r="P16" s="9" t="s">
        <v>245</v>
      </c>
      <c r="Q16" s="9" t="s">
        <v>106</v>
      </c>
      <c r="R16" s="9" t="s">
        <v>106</v>
      </c>
      <c r="S16" s="9" t="s">
        <v>146</v>
      </c>
      <c r="T16" s="9" t="s">
        <v>246</v>
      </c>
      <c r="U16" s="9" t="s">
        <v>247</v>
      </c>
      <c r="V16" s="9" t="s">
        <v>149</v>
      </c>
      <c r="W16" s="9" t="s">
        <v>248</v>
      </c>
      <c r="X16" s="9" t="s">
        <v>249</v>
      </c>
      <c r="Y16" s="10" t="s">
        <v>152</v>
      </c>
    </row>
    <row r="17" spans="1:25" ht="41.4">
      <c r="A17" s="8" t="s">
        <v>134</v>
      </c>
      <c r="B17" s="9" t="s">
        <v>111</v>
      </c>
      <c r="C17" s="9" t="s">
        <v>106</v>
      </c>
      <c r="D17" s="9" t="s">
        <v>250</v>
      </c>
      <c r="E17" s="9" t="s">
        <v>251</v>
      </c>
      <c r="F17" s="9" t="s">
        <v>252</v>
      </c>
      <c r="G17" s="9" t="s">
        <v>106</v>
      </c>
      <c r="H17" s="9" t="s">
        <v>109</v>
      </c>
      <c r="I17" s="9" t="s">
        <v>111</v>
      </c>
      <c r="J17" s="9" t="s">
        <v>253</v>
      </c>
      <c r="K17" s="9" t="s">
        <v>141</v>
      </c>
      <c r="L17" s="9" t="s">
        <v>254</v>
      </c>
      <c r="M17" s="9" t="s">
        <v>255</v>
      </c>
      <c r="N17" s="9" t="s">
        <v>256</v>
      </c>
      <c r="O17" s="9" t="s">
        <v>161</v>
      </c>
      <c r="P17" s="9" t="s">
        <v>257</v>
      </c>
      <c r="Q17" s="9" t="s">
        <v>106</v>
      </c>
      <c r="R17" s="9" t="s">
        <v>106</v>
      </c>
      <c r="S17" s="9" t="s">
        <v>146</v>
      </c>
      <c r="T17" s="9" t="s">
        <v>258</v>
      </c>
      <c r="U17" s="9" t="s">
        <v>259</v>
      </c>
      <c r="V17" s="9" t="s">
        <v>199</v>
      </c>
      <c r="W17" s="9" t="s">
        <v>260</v>
      </c>
      <c r="X17" s="9" t="s">
        <v>249</v>
      </c>
      <c r="Y17" s="10" t="s">
        <v>152</v>
      </c>
    </row>
    <row r="18" spans="1:25" ht="41.4">
      <c r="A18" s="8" t="s">
        <v>134</v>
      </c>
      <c r="B18" s="9" t="s">
        <v>261</v>
      </c>
      <c r="C18" s="9" t="s">
        <v>106</v>
      </c>
      <c r="D18" s="9" t="s">
        <v>262</v>
      </c>
      <c r="E18" s="9" t="s">
        <v>263</v>
      </c>
      <c r="F18" s="9" t="s">
        <v>264</v>
      </c>
      <c r="G18" s="9" t="s">
        <v>106</v>
      </c>
      <c r="H18" s="9" t="s">
        <v>109</v>
      </c>
      <c r="I18" s="9" t="s">
        <v>261</v>
      </c>
      <c r="J18" s="9" t="s">
        <v>253</v>
      </c>
      <c r="K18" s="9" t="s">
        <v>141</v>
      </c>
      <c r="L18" s="9" t="s">
        <v>265</v>
      </c>
      <c r="M18" s="9" t="s">
        <v>266</v>
      </c>
      <c r="N18" s="9" t="s">
        <v>267</v>
      </c>
      <c r="O18" s="9" t="s">
        <v>268</v>
      </c>
      <c r="P18" s="9" t="s">
        <v>269</v>
      </c>
      <c r="Q18" s="9" t="s">
        <v>106</v>
      </c>
      <c r="R18" s="9" t="s">
        <v>106</v>
      </c>
      <c r="S18" s="9" t="s">
        <v>146</v>
      </c>
      <c r="T18" s="9" t="s">
        <v>270</v>
      </c>
      <c r="U18" s="9" t="s">
        <v>271</v>
      </c>
      <c r="V18" s="9" t="s">
        <v>164</v>
      </c>
      <c r="W18" s="9" t="s">
        <v>272</v>
      </c>
      <c r="X18" s="9" t="s">
        <v>180</v>
      </c>
      <c r="Y18" s="10" t="s">
        <v>152</v>
      </c>
    </row>
    <row r="19" spans="1:25" ht="41.4">
      <c r="A19" s="8" t="s">
        <v>134</v>
      </c>
      <c r="B19" s="9" t="s">
        <v>273</v>
      </c>
      <c r="C19" s="9" t="s">
        <v>106</v>
      </c>
      <c r="D19" s="9" t="s">
        <v>274</v>
      </c>
      <c r="E19" s="9" t="s">
        <v>275</v>
      </c>
      <c r="F19" s="9" t="s">
        <v>276</v>
      </c>
      <c r="G19" s="9" t="s">
        <v>106</v>
      </c>
      <c r="H19" s="9" t="s">
        <v>109</v>
      </c>
      <c r="I19" s="9" t="s">
        <v>273</v>
      </c>
      <c r="J19" s="9" t="s">
        <v>206</v>
      </c>
      <c r="K19" s="9" t="s">
        <v>141</v>
      </c>
      <c r="L19" s="9" t="s">
        <v>106</v>
      </c>
      <c r="M19" s="9" t="s">
        <v>277</v>
      </c>
      <c r="N19" s="9" t="s">
        <v>278</v>
      </c>
      <c r="O19" s="9" t="s">
        <v>161</v>
      </c>
      <c r="P19" s="9" t="s">
        <v>145</v>
      </c>
      <c r="Q19" s="9" t="s">
        <v>106</v>
      </c>
      <c r="R19" s="9" t="s">
        <v>106</v>
      </c>
      <c r="S19" s="9" t="s">
        <v>146</v>
      </c>
      <c r="T19" s="9" t="s">
        <v>279</v>
      </c>
      <c r="U19" s="9" t="s">
        <v>280</v>
      </c>
      <c r="V19" s="9" t="s">
        <v>199</v>
      </c>
      <c r="W19" s="9" t="s">
        <v>281</v>
      </c>
      <c r="X19" s="9" t="s">
        <v>282</v>
      </c>
      <c r="Y19" s="10" t="s">
        <v>152</v>
      </c>
    </row>
    <row r="20" spans="1:25" ht="41.4">
      <c r="A20" s="11" t="s">
        <v>134</v>
      </c>
      <c r="B20" s="12" t="s">
        <v>283</v>
      </c>
      <c r="C20" s="12" t="s">
        <v>106</v>
      </c>
      <c r="D20" s="12" t="s">
        <v>284</v>
      </c>
      <c r="E20" s="12" t="s">
        <v>285</v>
      </c>
      <c r="F20" s="12" t="s">
        <v>286</v>
      </c>
      <c r="G20" s="12" t="s">
        <v>106</v>
      </c>
      <c r="H20" s="12" t="s">
        <v>109</v>
      </c>
      <c r="I20" s="12" t="s">
        <v>283</v>
      </c>
      <c r="J20" s="12" t="s">
        <v>106</v>
      </c>
      <c r="K20" s="12" t="s">
        <v>141</v>
      </c>
      <c r="L20" s="12" t="s">
        <v>106</v>
      </c>
      <c r="M20" s="12" t="s">
        <v>287</v>
      </c>
      <c r="N20" s="12" t="s">
        <v>288</v>
      </c>
      <c r="O20" s="12" t="s">
        <v>161</v>
      </c>
      <c r="P20" s="12" t="s">
        <v>289</v>
      </c>
      <c r="Q20" s="12" t="s">
        <v>106</v>
      </c>
      <c r="R20" s="12" t="s">
        <v>106</v>
      </c>
      <c r="S20" s="12" t="s">
        <v>146</v>
      </c>
      <c r="T20" s="12" t="s">
        <v>290</v>
      </c>
      <c r="U20" s="12" t="s">
        <v>291</v>
      </c>
      <c r="V20" s="12" t="s">
        <v>199</v>
      </c>
      <c r="W20" s="12" t="s">
        <v>292</v>
      </c>
      <c r="X20" s="12" t="s">
        <v>293</v>
      </c>
      <c r="Y20" s="13" t="s">
        <v>152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B5" sqref="B5"/>
    </sheetView>
  </sheetViews>
  <sheetFormatPr defaultRowHeight="13.8"/>
  <cols>
    <col min="1" max="1" width="22" customWidth="1"/>
    <col min="2" max="8" width="16" customWidth="1"/>
    <col min="9" max="23" width="22" customWidth="1"/>
  </cols>
  <sheetData>
    <row r="1" spans="1:23" ht="20.85" customHeight="1">
      <c r="A1" s="15" t="s">
        <v>294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30.45" customHeight="1">
      <c r="A2" s="21" t="s">
        <v>295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4" spans="1:23" ht="31.95" customHeight="1">
      <c r="A4" s="2" t="s">
        <v>296</v>
      </c>
      <c r="B4" s="3" t="s">
        <v>297</v>
      </c>
      <c r="C4" s="3" t="s">
        <v>81</v>
      </c>
      <c r="D4" s="3" t="s">
        <v>298</v>
      </c>
      <c r="E4" s="3" t="s">
        <v>299</v>
      </c>
      <c r="F4" s="3" t="s">
        <v>84</v>
      </c>
      <c r="G4" s="3" t="s">
        <v>300</v>
      </c>
      <c r="H4" s="3" t="s">
        <v>86</v>
      </c>
      <c r="I4" s="3" t="s">
        <v>87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96</v>
      </c>
      <c r="S4" s="3" t="s">
        <v>309</v>
      </c>
      <c r="T4" s="3" t="s">
        <v>95</v>
      </c>
      <c r="U4" s="3" t="s">
        <v>310</v>
      </c>
      <c r="V4" s="3" t="s">
        <v>311</v>
      </c>
      <c r="W4" s="4" t="s">
        <v>312</v>
      </c>
    </row>
    <row r="5" spans="1:23" ht="41.4">
      <c r="A5" s="5" t="s">
        <v>313</v>
      </c>
      <c r="B5" s="6" t="s">
        <v>314</v>
      </c>
      <c r="C5" s="6" t="s">
        <v>315</v>
      </c>
      <c r="D5" s="6" t="s">
        <v>316</v>
      </c>
      <c r="E5" s="6" t="s">
        <v>317</v>
      </c>
      <c r="F5" s="6" t="s">
        <v>318</v>
      </c>
      <c r="G5" s="6" t="s">
        <v>319</v>
      </c>
      <c r="H5" s="6" t="s">
        <v>109</v>
      </c>
      <c r="I5" s="6" t="s">
        <v>320</v>
      </c>
      <c r="J5" s="6" t="s">
        <v>321</v>
      </c>
      <c r="K5" s="6" t="s">
        <v>322</v>
      </c>
      <c r="L5" s="6" t="s">
        <v>149</v>
      </c>
      <c r="M5" s="6" t="s">
        <v>320</v>
      </c>
      <c r="N5" s="6" t="s">
        <v>323</v>
      </c>
      <c r="O5" s="6" t="s">
        <v>324</v>
      </c>
      <c r="P5" s="6" t="s">
        <v>325</v>
      </c>
      <c r="Q5" s="6" t="s">
        <v>326</v>
      </c>
      <c r="R5" s="6" t="s">
        <v>327</v>
      </c>
      <c r="S5" s="6" t="s">
        <v>114</v>
      </c>
      <c r="T5" s="6" t="s">
        <v>328</v>
      </c>
      <c r="U5" s="6" t="s">
        <v>329</v>
      </c>
      <c r="V5" s="6" t="s">
        <v>330</v>
      </c>
      <c r="W5" s="7" t="s">
        <v>331</v>
      </c>
    </row>
    <row r="6" spans="1:23" ht="41.4">
      <c r="A6" s="8" t="s">
        <v>313</v>
      </c>
      <c r="B6" s="9" t="s">
        <v>332</v>
      </c>
      <c r="C6" s="9" t="s">
        <v>333</v>
      </c>
      <c r="D6" s="9" t="s">
        <v>316</v>
      </c>
      <c r="E6" s="9" t="s">
        <v>317</v>
      </c>
      <c r="F6" s="9" t="s">
        <v>318</v>
      </c>
      <c r="G6" s="9" t="s">
        <v>319</v>
      </c>
      <c r="H6" s="9" t="s">
        <v>109</v>
      </c>
      <c r="I6" s="9" t="s">
        <v>320</v>
      </c>
      <c r="J6" s="9" t="s">
        <v>321</v>
      </c>
      <c r="K6" s="9" t="s">
        <v>322</v>
      </c>
      <c r="L6" s="9" t="s">
        <v>199</v>
      </c>
      <c r="M6" s="9" t="s">
        <v>320</v>
      </c>
      <c r="N6" s="9" t="s">
        <v>323</v>
      </c>
      <c r="O6" s="9" t="s">
        <v>324</v>
      </c>
      <c r="P6" s="9" t="s">
        <v>325</v>
      </c>
      <c r="Q6" s="9" t="s">
        <v>326</v>
      </c>
      <c r="R6" s="9" t="s">
        <v>327</v>
      </c>
      <c r="S6" s="9" t="s">
        <v>114</v>
      </c>
      <c r="T6" s="9" t="s">
        <v>328</v>
      </c>
      <c r="U6" s="9" t="s">
        <v>329</v>
      </c>
      <c r="V6" s="9" t="s">
        <v>334</v>
      </c>
      <c r="W6" s="10" t="s">
        <v>331</v>
      </c>
    </row>
    <row r="7" spans="1:23" ht="41.4">
      <c r="A7" s="8" t="s">
        <v>313</v>
      </c>
      <c r="B7" s="9" t="s">
        <v>335</v>
      </c>
      <c r="C7" s="9" t="s">
        <v>336</v>
      </c>
      <c r="D7" s="9" t="s">
        <v>337</v>
      </c>
      <c r="E7" s="9" t="s">
        <v>317</v>
      </c>
      <c r="F7" s="9" t="s">
        <v>338</v>
      </c>
      <c r="G7" s="9" t="s">
        <v>339</v>
      </c>
      <c r="H7" s="9" t="s">
        <v>109</v>
      </c>
      <c r="I7" s="9" t="s">
        <v>320</v>
      </c>
      <c r="J7" s="9" t="s">
        <v>340</v>
      </c>
      <c r="K7" s="9" t="s">
        <v>341</v>
      </c>
      <c r="L7" s="9" t="s">
        <v>149</v>
      </c>
      <c r="M7" s="9" t="s">
        <v>320</v>
      </c>
      <c r="N7" s="9" t="s">
        <v>323</v>
      </c>
      <c r="O7" s="9" t="s">
        <v>324</v>
      </c>
      <c r="P7" s="9" t="s">
        <v>325</v>
      </c>
      <c r="Q7" s="9" t="s">
        <v>326</v>
      </c>
      <c r="R7" s="9" t="s">
        <v>327</v>
      </c>
      <c r="S7" s="9" t="s">
        <v>114</v>
      </c>
      <c r="T7" s="9" t="s">
        <v>328</v>
      </c>
      <c r="U7" s="9" t="s">
        <v>329</v>
      </c>
      <c r="V7" s="9" t="s">
        <v>342</v>
      </c>
      <c r="W7" s="10" t="s">
        <v>331</v>
      </c>
    </row>
    <row r="8" spans="1:23" ht="41.4">
      <c r="A8" s="8" t="s">
        <v>313</v>
      </c>
      <c r="B8" s="9" t="s">
        <v>343</v>
      </c>
      <c r="C8" s="9" t="s">
        <v>344</v>
      </c>
      <c r="D8" s="9" t="s">
        <v>337</v>
      </c>
      <c r="E8" s="9" t="s">
        <v>317</v>
      </c>
      <c r="F8" s="9" t="s">
        <v>338</v>
      </c>
      <c r="G8" s="9" t="s">
        <v>339</v>
      </c>
      <c r="H8" s="9" t="s">
        <v>109</v>
      </c>
      <c r="I8" s="9" t="s">
        <v>320</v>
      </c>
      <c r="J8" s="9" t="s">
        <v>340</v>
      </c>
      <c r="K8" s="9" t="s">
        <v>341</v>
      </c>
      <c r="L8" s="9" t="s">
        <v>199</v>
      </c>
      <c r="M8" s="9" t="s">
        <v>320</v>
      </c>
      <c r="N8" s="9" t="s">
        <v>323</v>
      </c>
      <c r="O8" s="9" t="s">
        <v>324</v>
      </c>
      <c r="P8" s="9" t="s">
        <v>325</v>
      </c>
      <c r="Q8" s="9" t="s">
        <v>326</v>
      </c>
      <c r="R8" s="9" t="s">
        <v>327</v>
      </c>
      <c r="S8" s="9" t="s">
        <v>114</v>
      </c>
      <c r="T8" s="9" t="s">
        <v>328</v>
      </c>
      <c r="U8" s="9" t="s">
        <v>329</v>
      </c>
      <c r="V8" s="9" t="s">
        <v>345</v>
      </c>
      <c r="W8" s="10" t="s">
        <v>331</v>
      </c>
    </row>
    <row r="9" spans="1:23" ht="41.4">
      <c r="A9" s="8" t="s">
        <v>313</v>
      </c>
      <c r="B9" s="9" t="s">
        <v>346</v>
      </c>
      <c r="C9" s="9" t="s">
        <v>347</v>
      </c>
      <c r="D9" s="9" t="s">
        <v>348</v>
      </c>
      <c r="E9" s="9" t="s">
        <v>317</v>
      </c>
      <c r="F9" s="9" t="s">
        <v>349</v>
      </c>
      <c r="G9" s="9" t="s">
        <v>350</v>
      </c>
      <c r="H9" s="9" t="s">
        <v>109</v>
      </c>
      <c r="I9" s="9" t="s">
        <v>351</v>
      </c>
      <c r="J9" s="9" t="s">
        <v>321</v>
      </c>
      <c r="K9" s="9" t="s">
        <v>322</v>
      </c>
      <c r="L9" s="9" t="s">
        <v>164</v>
      </c>
      <c r="M9" s="9" t="s">
        <v>351</v>
      </c>
      <c r="N9" s="9" t="s">
        <v>323</v>
      </c>
      <c r="O9" s="9" t="s">
        <v>324</v>
      </c>
      <c r="P9" s="9" t="s">
        <v>325</v>
      </c>
      <c r="Q9" s="9" t="s">
        <v>326</v>
      </c>
      <c r="R9" s="9" t="s">
        <v>327</v>
      </c>
      <c r="S9" s="9" t="s">
        <v>114</v>
      </c>
      <c r="T9" s="9" t="s">
        <v>328</v>
      </c>
      <c r="U9" s="9" t="s">
        <v>329</v>
      </c>
      <c r="V9" s="9" t="s">
        <v>352</v>
      </c>
      <c r="W9" s="10" t="s">
        <v>331</v>
      </c>
    </row>
    <row r="10" spans="1:23" ht="41.4">
      <c r="A10" s="8" t="s">
        <v>313</v>
      </c>
      <c r="B10" s="9" t="s">
        <v>353</v>
      </c>
      <c r="C10" s="9" t="s">
        <v>354</v>
      </c>
      <c r="D10" s="9" t="s">
        <v>348</v>
      </c>
      <c r="E10" s="9" t="s">
        <v>317</v>
      </c>
      <c r="F10" s="9" t="s">
        <v>349</v>
      </c>
      <c r="G10" s="9" t="s">
        <v>350</v>
      </c>
      <c r="H10" s="9" t="s">
        <v>109</v>
      </c>
      <c r="I10" s="9" t="s">
        <v>351</v>
      </c>
      <c r="J10" s="9" t="s">
        <v>321</v>
      </c>
      <c r="K10" s="9" t="s">
        <v>322</v>
      </c>
      <c r="L10" s="9" t="s">
        <v>355</v>
      </c>
      <c r="M10" s="9" t="s">
        <v>351</v>
      </c>
      <c r="N10" s="9" t="s">
        <v>323</v>
      </c>
      <c r="O10" s="9" t="s">
        <v>324</v>
      </c>
      <c r="P10" s="9" t="s">
        <v>325</v>
      </c>
      <c r="Q10" s="9" t="s">
        <v>326</v>
      </c>
      <c r="R10" s="9" t="s">
        <v>327</v>
      </c>
      <c r="S10" s="9" t="s">
        <v>114</v>
      </c>
      <c r="T10" s="9" t="s">
        <v>328</v>
      </c>
      <c r="U10" s="9" t="s">
        <v>329</v>
      </c>
      <c r="V10" s="9" t="s">
        <v>356</v>
      </c>
      <c r="W10" s="10" t="s">
        <v>331</v>
      </c>
    </row>
    <row r="11" spans="1:23" ht="41.4">
      <c r="A11" s="8" t="s">
        <v>313</v>
      </c>
      <c r="B11" s="9" t="s">
        <v>357</v>
      </c>
      <c r="C11" s="9" t="s">
        <v>358</v>
      </c>
      <c r="D11" s="9" t="s">
        <v>359</v>
      </c>
      <c r="E11" s="9" t="s">
        <v>317</v>
      </c>
      <c r="F11" s="9" t="s">
        <v>360</v>
      </c>
      <c r="G11" s="9" t="s">
        <v>361</v>
      </c>
      <c r="H11" s="9" t="s">
        <v>109</v>
      </c>
      <c r="I11" s="9" t="s">
        <v>351</v>
      </c>
      <c r="J11" s="9" t="s">
        <v>340</v>
      </c>
      <c r="K11" s="9" t="s">
        <v>341</v>
      </c>
      <c r="L11" s="9" t="s">
        <v>164</v>
      </c>
      <c r="M11" s="9" t="s">
        <v>351</v>
      </c>
      <c r="N11" s="9" t="s">
        <v>323</v>
      </c>
      <c r="O11" s="9" t="s">
        <v>324</v>
      </c>
      <c r="P11" s="9" t="s">
        <v>325</v>
      </c>
      <c r="Q11" s="9" t="s">
        <v>326</v>
      </c>
      <c r="R11" s="9" t="s">
        <v>327</v>
      </c>
      <c r="S11" s="9" t="s">
        <v>114</v>
      </c>
      <c r="T11" s="9" t="s">
        <v>328</v>
      </c>
      <c r="U11" s="9" t="s">
        <v>329</v>
      </c>
      <c r="V11" s="9" t="s">
        <v>362</v>
      </c>
      <c r="W11" s="10" t="s">
        <v>331</v>
      </c>
    </row>
    <row r="12" spans="1:23" ht="41.4">
      <c r="A12" s="8" t="s">
        <v>313</v>
      </c>
      <c r="B12" s="9" t="s">
        <v>363</v>
      </c>
      <c r="C12" s="9" t="s">
        <v>364</v>
      </c>
      <c r="D12" s="9" t="s">
        <v>359</v>
      </c>
      <c r="E12" s="9" t="s">
        <v>317</v>
      </c>
      <c r="F12" s="9" t="s">
        <v>360</v>
      </c>
      <c r="G12" s="9" t="s">
        <v>361</v>
      </c>
      <c r="H12" s="9" t="s">
        <v>109</v>
      </c>
      <c r="I12" s="9" t="s">
        <v>351</v>
      </c>
      <c r="J12" s="9" t="s">
        <v>340</v>
      </c>
      <c r="K12" s="9" t="s">
        <v>341</v>
      </c>
      <c r="L12" s="9" t="s">
        <v>355</v>
      </c>
      <c r="M12" s="9" t="s">
        <v>351</v>
      </c>
      <c r="N12" s="9" t="s">
        <v>323</v>
      </c>
      <c r="O12" s="9" t="s">
        <v>324</v>
      </c>
      <c r="P12" s="9" t="s">
        <v>325</v>
      </c>
      <c r="Q12" s="9" t="s">
        <v>326</v>
      </c>
      <c r="R12" s="9" t="s">
        <v>327</v>
      </c>
      <c r="S12" s="9" t="s">
        <v>114</v>
      </c>
      <c r="T12" s="9" t="s">
        <v>328</v>
      </c>
      <c r="U12" s="9" t="s">
        <v>329</v>
      </c>
      <c r="V12" s="9" t="s">
        <v>365</v>
      </c>
      <c r="W12" s="10" t="s">
        <v>331</v>
      </c>
    </row>
    <row r="13" spans="1:23" ht="55.2">
      <c r="A13" s="8" t="s">
        <v>366</v>
      </c>
      <c r="B13" s="9" t="s">
        <v>367</v>
      </c>
      <c r="C13" s="9" t="s">
        <v>368</v>
      </c>
      <c r="D13" s="9" t="s">
        <v>369</v>
      </c>
      <c r="E13" s="9" t="s">
        <v>370</v>
      </c>
      <c r="F13" s="9" t="s">
        <v>371</v>
      </c>
      <c r="G13" s="9" t="s">
        <v>372</v>
      </c>
      <c r="H13" s="9" t="s">
        <v>109</v>
      </c>
      <c r="I13" s="9" t="s">
        <v>373</v>
      </c>
      <c r="J13" s="9" t="s">
        <v>374</v>
      </c>
      <c r="K13" s="9" t="s">
        <v>375</v>
      </c>
      <c r="L13" s="9" t="s">
        <v>376</v>
      </c>
      <c r="M13" s="9" t="s">
        <v>377</v>
      </c>
      <c r="N13" s="9" t="s">
        <v>106</v>
      </c>
      <c r="O13" s="9" t="s">
        <v>324</v>
      </c>
      <c r="P13" s="9" t="s">
        <v>325</v>
      </c>
      <c r="Q13" s="9" t="s">
        <v>326</v>
      </c>
      <c r="R13" s="9" t="s">
        <v>116</v>
      </c>
      <c r="S13" s="9" t="s">
        <v>114</v>
      </c>
      <c r="T13" s="9" t="s">
        <v>233</v>
      </c>
      <c r="U13" s="9" t="s">
        <v>378</v>
      </c>
      <c r="V13" s="9" t="s">
        <v>379</v>
      </c>
      <c r="W13" s="10" t="s">
        <v>380</v>
      </c>
    </row>
    <row r="14" spans="1:23" ht="55.2">
      <c r="A14" s="8" t="s">
        <v>366</v>
      </c>
      <c r="B14" s="9" t="s">
        <v>381</v>
      </c>
      <c r="C14" s="9" t="s">
        <v>382</v>
      </c>
      <c r="D14" s="9" t="s">
        <v>383</v>
      </c>
      <c r="E14" s="9" t="s">
        <v>370</v>
      </c>
      <c r="F14" s="9" t="s">
        <v>384</v>
      </c>
      <c r="G14" s="9" t="s">
        <v>385</v>
      </c>
      <c r="H14" s="9" t="s">
        <v>109</v>
      </c>
      <c r="I14" s="9" t="s">
        <v>386</v>
      </c>
      <c r="J14" s="9" t="s">
        <v>387</v>
      </c>
      <c r="K14" s="9" t="s">
        <v>375</v>
      </c>
      <c r="L14" s="9" t="s">
        <v>376</v>
      </c>
      <c r="M14" s="9" t="s">
        <v>377</v>
      </c>
      <c r="N14" s="9" t="s">
        <v>106</v>
      </c>
      <c r="O14" s="9" t="s">
        <v>324</v>
      </c>
      <c r="P14" s="9" t="s">
        <v>325</v>
      </c>
      <c r="Q14" s="9" t="s">
        <v>326</v>
      </c>
      <c r="R14" s="9" t="s">
        <v>116</v>
      </c>
      <c r="S14" s="9" t="s">
        <v>114</v>
      </c>
      <c r="T14" s="9" t="s">
        <v>233</v>
      </c>
      <c r="U14" s="9" t="s">
        <v>388</v>
      </c>
      <c r="V14" s="9" t="s">
        <v>389</v>
      </c>
      <c r="W14" s="10" t="s">
        <v>380</v>
      </c>
    </row>
    <row r="15" spans="1:23" ht="55.2">
      <c r="A15" s="8" t="s">
        <v>366</v>
      </c>
      <c r="B15" s="9" t="s">
        <v>390</v>
      </c>
      <c r="C15" s="9" t="s">
        <v>391</v>
      </c>
      <c r="D15" s="9" t="s">
        <v>392</v>
      </c>
      <c r="E15" s="9" t="s">
        <v>370</v>
      </c>
      <c r="F15" s="9" t="s">
        <v>393</v>
      </c>
      <c r="G15" s="9" t="s">
        <v>394</v>
      </c>
      <c r="H15" s="9" t="s">
        <v>109</v>
      </c>
      <c r="I15" s="9" t="s">
        <v>395</v>
      </c>
      <c r="J15" s="9" t="s">
        <v>374</v>
      </c>
      <c r="K15" s="9" t="s">
        <v>375</v>
      </c>
      <c r="L15" s="9" t="s">
        <v>396</v>
      </c>
      <c r="M15" s="9" t="s">
        <v>397</v>
      </c>
      <c r="N15" s="9" t="s">
        <v>106</v>
      </c>
      <c r="O15" s="9" t="s">
        <v>324</v>
      </c>
      <c r="P15" s="9" t="s">
        <v>325</v>
      </c>
      <c r="Q15" s="9" t="s">
        <v>326</v>
      </c>
      <c r="R15" s="9" t="s">
        <v>116</v>
      </c>
      <c r="S15" s="9" t="s">
        <v>114</v>
      </c>
      <c r="T15" s="9" t="s">
        <v>233</v>
      </c>
      <c r="U15" s="9" t="s">
        <v>398</v>
      </c>
      <c r="V15" s="9" t="s">
        <v>399</v>
      </c>
      <c r="W15" s="10" t="s">
        <v>380</v>
      </c>
    </row>
    <row r="16" spans="1:23" ht="55.2">
      <c r="A16" s="8" t="s">
        <v>366</v>
      </c>
      <c r="B16" s="9" t="s">
        <v>400</v>
      </c>
      <c r="C16" s="9" t="s">
        <v>401</v>
      </c>
      <c r="D16" s="9" t="s">
        <v>402</v>
      </c>
      <c r="E16" s="9" t="s">
        <v>370</v>
      </c>
      <c r="F16" s="9" t="s">
        <v>403</v>
      </c>
      <c r="G16" s="9" t="s">
        <v>404</v>
      </c>
      <c r="H16" s="9" t="s">
        <v>109</v>
      </c>
      <c r="I16" s="9" t="s">
        <v>405</v>
      </c>
      <c r="J16" s="9" t="s">
        <v>387</v>
      </c>
      <c r="K16" s="9" t="s">
        <v>375</v>
      </c>
      <c r="L16" s="9" t="s">
        <v>396</v>
      </c>
      <c r="M16" s="9" t="s">
        <v>397</v>
      </c>
      <c r="N16" s="9" t="s">
        <v>106</v>
      </c>
      <c r="O16" s="9" t="s">
        <v>324</v>
      </c>
      <c r="P16" s="9" t="s">
        <v>325</v>
      </c>
      <c r="Q16" s="9" t="s">
        <v>326</v>
      </c>
      <c r="R16" s="9" t="s">
        <v>116</v>
      </c>
      <c r="S16" s="9" t="s">
        <v>114</v>
      </c>
      <c r="T16" s="9" t="s">
        <v>233</v>
      </c>
      <c r="U16" s="9" t="s">
        <v>406</v>
      </c>
      <c r="V16" s="9" t="s">
        <v>407</v>
      </c>
      <c r="W16" s="10" t="s">
        <v>380</v>
      </c>
    </row>
    <row r="17" spans="1:23" ht="41.4">
      <c r="A17" s="8" t="s">
        <v>408</v>
      </c>
      <c r="B17" s="9" t="s">
        <v>409</v>
      </c>
      <c r="C17" s="9" t="s">
        <v>410</v>
      </c>
      <c r="D17" s="9" t="s">
        <v>106</v>
      </c>
      <c r="E17" s="9" t="s">
        <v>408</v>
      </c>
      <c r="F17" s="9" t="s">
        <v>411</v>
      </c>
      <c r="G17" s="9" t="s">
        <v>412</v>
      </c>
      <c r="H17" s="9" t="s">
        <v>109</v>
      </c>
      <c r="I17" s="9" t="s">
        <v>413</v>
      </c>
      <c r="J17" s="9" t="s">
        <v>414</v>
      </c>
      <c r="K17" s="9" t="s">
        <v>415</v>
      </c>
      <c r="L17" s="9" t="s">
        <v>149</v>
      </c>
      <c r="M17" s="9" t="s">
        <v>416</v>
      </c>
      <c r="N17" s="9" t="s">
        <v>106</v>
      </c>
      <c r="O17" s="9" t="s">
        <v>324</v>
      </c>
      <c r="P17" s="9" t="s">
        <v>325</v>
      </c>
      <c r="Q17" s="9" t="s">
        <v>326</v>
      </c>
      <c r="R17" s="9" t="s">
        <v>116</v>
      </c>
      <c r="S17" s="9" t="s">
        <v>114</v>
      </c>
      <c r="T17" s="9" t="s">
        <v>106</v>
      </c>
      <c r="U17" s="9" t="s">
        <v>417</v>
      </c>
      <c r="V17" s="9" t="s">
        <v>106</v>
      </c>
      <c r="W17" s="10" t="s">
        <v>418</v>
      </c>
    </row>
    <row r="18" spans="1:23" ht="41.4">
      <c r="A18" s="8" t="s">
        <v>408</v>
      </c>
      <c r="B18" s="9" t="s">
        <v>419</v>
      </c>
      <c r="C18" s="9" t="s">
        <v>420</v>
      </c>
      <c r="D18" s="9" t="s">
        <v>106</v>
      </c>
      <c r="E18" s="9" t="s">
        <v>408</v>
      </c>
      <c r="F18" s="9" t="s">
        <v>421</v>
      </c>
      <c r="G18" s="9" t="s">
        <v>422</v>
      </c>
      <c r="H18" s="9" t="s">
        <v>109</v>
      </c>
      <c r="I18" s="9" t="s">
        <v>413</v>
      </c>
      <c r="J18" s="9" t="s">
        <v>423</v>
      </c>
      <c r="K18" s="9" t="s">
        <v>415</v>
      </c>
      <c r="L18" s="9" t="s">
        <v>149</v>
      </c>
      <c r="M18" s="9" t="s">
        <v>416</v>
      </c>
      <c r="N18" s="9" t="s">
        <v>106</v>
      </c>
      <c r="O18" s="9" t="s">
        <v>324</v>
      </c>
      <c r="P18" s="9" t="s">
        <v>325</v>
      </c>
      <c r="Q18" s="9" t="s">
        <v>326</v>
      </c>
      <c r="R18" s="9" t="s">
        <v>116</v>
      </c>
      <c r="S18" s="9" t="s">
        <v>114</v>
      </c>
      <c r="T18" s="9" t="s">
        <v>106</v>
      </c>
      <c r="U18" s="9" t="s">
        <v>417</v>
      </c>
      <c r="V18" s="9" t="s">
        <v>106</v>
      </c>
      <c r="W18" s="10" t="s">
        <v>418</v>
      </c>
    </row>
    <row r="19" spans="1:23" ht="41.4">
      <c r="A19" s="8" t="s">
        <v>408</v>
      </c>
      <c r="B19" s="9" t="s">
        <v>424</v>
      </c>
      <c r="C19" s="9" t="s">
        <v>425</v>
      </c>
      <c r="D19" s="9" t="s">
        <v>106</v>
      </c>
      <c r="E19" s="9" t="s">
        <v>408</v>
      </c>
      <c r="F19" s="9" t="s">
        <v>426</v>
      </c>
      <c r="G19" s="9" t="s">
        <v>427</v>
      </c>
      <c r="H19" s="9" t="s">
        <v>109</v>
      </c>
      <c r="I19" s="9" t="s">
        <v>428</v>
      </c>
      <c r="J19" s="9" t="s">
        <v>414</v>
      </c>
      <c r="K19" s="9" t="s">
        <v>415</v>
      </c>
      <c r="L19" s="9" t="s">
        <v>199</v>
      </c>
      <c r="M19" s="9" t="s">
        <v>416</v>
      </c>
      <c r="N19" s="9" t="s">
        <v>106</v>
      </c>
      <c r="O19" s="9" t="s">
        <v>324</v>
      </c>
      <c r="P19" s="9" t="s">
        <v>325</v>
      </c>
      <c r="Q19" s="9" t="s">
        <v>326</v>
      </c>
      <c r="R19" s="9" t="s">
        <v>116</v>
      </c>
      <c r="S19" s="9" t="s">
        <v>114</v>
      </c>
      <c r="T19" s="9" t="s">
        <v>106</v>
      </c>
      <c r="U19" s="9" t="s">
        <v>417</v>
      </c>
      <c r="V19" s="9" t="s">
        <v>106</v>
      </c>
      <c r="W19" s="10" t="s">
        <v>418</v>
      </c>
    </row>
    <row r="20" spans="1:23" ht="41.4">
      <c r="A20" s="8" t="s">
        <v>408</v>
      </c>
      <c r="B20" s="9" t="s">
        <v>429</v>
      </c>
      <c r="C20" s="9" t="s">
        <v>430</v>
      </c>
      <c r="D20" s="9" t="s">
        <v>106</v>
      </c>
      <c r="E20" s="9" t="s">
        <v>408</v>
      </c>
      <c r="F20" s="9" t="s">
        <v>431</v>
      </c>
      <c r="G20" s="9" t="s">
        <v>432</v>
      </c>
      <c r="H20" s="9" t="s">
        <v>109</v>
      </c>
      <c r="I20" s="9" t="s">
        <v>428</v>
      </c>
      <c r="J20" s="9" t="s">
        <v>423</v>
      </c>
      <c r="K20" s="9" t="s">
        <v>415</v>
      </c>
      <c r="L20" s="9" t="s">
        <v>199</v>
      </c>
      <c r="M20" s="9" t="s">
        <v>416</v>
      </c>
      <c r="N20" s="9" t="s">
        <v>106</v>
      </c>
      <c r="O20" s="9" t="s">
        <v>324</v>
      </c>
      <c r="P20" s="9" t="s">
        <v>325</v>
      </c>
      <c r="Q20" s="9" t="s">
        <v>326</v>
      </c>
      <c r="R20" s="9" t="s">
        <v>116</v>
      </c>
      <c r="S20" s="9" t="s">
        <v>114</v>
      </c>
      <c r="T20" s="9" t="s">
        <v>106</v>
      </c>
      <c r="U20" s="9" t="s">
        <v>417</v>
      </c>
      <c r="V20" s="9" t="s">
        <v>106</v>
      </c>
      <c r="W20" s="10" t="s">
        <v>418</v>
      </c>
    </row>
    <row r="21" spans="1:23" ht="41.4">
      <c r="A21" s="8" t="s">
        <v>408</v>
      </c>
      <c r="B21" s="9" t="s">
        <v>433</v>
      </c>
      <c r="C21" s="9" t="s">
        <v>434</v>
      </c>
      <c r="D21" s="9" t="s">
        <v>106</v>
      </c>
      <c r="E21" s="9" t="s">
        <v>408</v>
      </c>
      <c r="F21" s="9" t="s">
        <v>435</v>
      </c>
      <c r="G21" s="9" t="s">
        <v>436</v>
      </c>
      <c r="H21" s="9" t="s">
        <v>109</v>
      </c>
      <c r="I21" s="9" t="s">
        <v>437</v>
      </c>
      <c r="J21" s="9" t="s">
        <v>414</v>
      </c>
      <c r="K21" s="9" t="s">
        <v>415</v>
      </c>
      <c r="L21" s="9" t="s">
        <v>164</v>
      </c>
      <c r="M21" s="9" t="s">
        <v>416</v>
      </c>
      <c r="N21" s="9" t="s">
        <v>106</v>
      </c>
      <c r="O21" s="9" t="s">
        <v>324</v>
      </c>
      <c r="P21" s="9" t="s">
        <v>325</v>
      </c>
      <c r="Q21" s="9" t="s">
        <v>326</v>
      </c>
      <c r="R21" s="9" t="s">
        <v>116</v>
      </c>
      <c r="S21" s="9" t="s">
        <v>114</v>
      </c>
      <c r="T21" s="9" t="s">
        <v>106</v>
      </c>
      <c r="U21" s="9" t="s">
        <v>417</v>
      </c>
      <c r="V21" s="9" t="s">
        <v>106</v>
      </c>
      <c r="W21" s="10" t="s">
        <v>418</v>
      </c>
    </row>
    <row r="22" spans="1:23" ht="41.4">
      <c r="A22" s="8" t="s">
        <v>408</v>
      </c>
      <c r="B22" s="9" t="s">
        <v>438</v>
      </c>
      <c r="C22" s="9" t="s">
        <v>439</v>
      </c>
      <c r="D22" s="9" t="s">
        <v>106</v>
      </c>
      <c r="E22" s="9" t="s">
        <v>408</v>
      </c>
      <c r="F22" s="9" t="s">
        <v>440</v>
      </c>
      <c r="G22" s="9" t="s">
        <v>441</v>
      </c>
      <c r="H22" s="9" t="s">
        <v>109</v>
      </c>
      <c r="I22" s="9" t="s">
        <v>437</v>
      </c>
      <c r="J22" s="9" t="s">
        <v>423</v>
      </c>
      <c r="K22" s="9" t="s">
        <v>415</v>
      </c>
      <c r="L22" s="9" t="s">
        <v>164</v>
      </c>
      <c r="M22" s="9" t="s">
        <v>416</v>
      </c>
      <c r="N22" s="9" t="s">
        <v>106</v>
      </c>
      <c r="O22" s="9" t="s">
        <v>324</v>
      </c>
      <c r="P22" s="9" t="s">
        <v>325</v>
      </c>
      <c r="Q22" s="9" t="s">
        <v>326</v>
      </c>
      <c r="R22" s="9" t="s">
        <v>116</v>
      </c>
      <c r="S22" s="9" t="s">
        <v>114</v>
      </c>
      <c r="T22" s="9" t="s">
        <v>106</v>
      </c>
      <c r="U22" s="9" t="s">
        <v>417</v>
      </c>
      <c r="V22" s="9" t="s">
        <v>106</v>
      </c>
      <c r="W22" s="10" t="s">
        <v>418</v>
      </c>
    </row>
    <row r="23" spans="1:23" ht="41.4">
      <c r="A23" s="8" t="s">
        <v>408</v>
      </c>
      <c r="B23" s="9" t="s">
        <v>442</v>
      </c>
      <c r="C23" s="9" t="s">
        <v>443</v>
      </c>
      <c r="D23" s="9" t="s">
        <v>106</v>
      </c>
      <c r="E23" s="9" t="s">
        <v>408</v>
      </c>
      <c r="F23" s="9" t="s">
        <v>444</v>
      </c>
      <c r="G23" s="9" t="s">
        <v>445</v>
      </c>
      <c r="H23" s="9" t="s">
        <v>109</v>
      </c>
      <c r="I23" s="9" t="s">
        <v>446</v>
      </c>
      <c r="J23" s="9" t="s">
        <v>414</v>
      </c>
      <c r="K23" s="9" t="s">
        <v>415</v>
      </c>
      <c r="L23" s="9" t="s">
        <v>355</v>
      </c>
      <c r="M23" s="9" t="s">
        <v>416</v>
      </c>
      <c r="N23" s="9" t="s">
        <v>106</v>
      </c>
      <c r="O23" s="9" t="s">
        <v>324</v>
      </c>
      <c r="P23" s="9" t="s">
        <v>325</v>
      </c>
      <c r="Q23" s="9" t="s">
        <v>326</v>
      </c>
      <c r="R23" s="9" t="s">
        <v>116</v>
      </c>
      <c r="S23" s="9" t="s">
        <v>114</v>
      </c>
      <c r="T23" s="9" t="s">
        <v>106</v>
      </c>
      <c r="U23" s="9" t="s">
        <v>417</v>
      </c>
      <c r="V23" s="9" t="s">
        <v>106</v>
      </c>
      <c r="W23" s="10" t="s">
        <v>418</v>
      </c>
    </row>
    <row r="24" spans="1:23" ht="41.4">
      <c r="A24" s="11" t="s">
        <v>408</v>
      </c>
      <c r="B24" s="12" t="s">
        <v>447</v>
      </c>
      <c r="C24" s="12" t="s">
        <v>448</v>
      </c>
      <c r="D24" s="12" t="s">
        <v>106</v>
      </c>
      <c r="E24" s="12" t="s">
        <v>408</v>
      </c>
      <c r="F24" s="12" t="s">
        <v>449</v>
      </c>
      <c r="G24" s="12" t="s">
        <v>450</v>
      </c>
      <c r="H24" s="12" t="s">
        <v>109</v>
      </c>
      <c r="I24" s="12" t="s">
        <v>446</v>
      </c>
      <c r="J24" s="12" t="s">
        <v>423</v>
      </c>
      <c r="K24" s="12" t="s">
        <v>415</v>
      </c>
      <c r="L24" s="12" t="s">
        <v>355</v>
      </c>
      <c r="M24" s="12" t="s">
        <v>416</v>
      </c>
      <c r="N24" s="12" t="s">
        <v>106</v>
      </c>
      <c r="O24" s="12" t="s">
        <v>324</v>
      </c>
      <c r="P24" s="12" t="s">
        <v>325</v>
      </c>
      <c r="Q24" s="12" t="s">
        <v>326</v>
      </c>
      <c r="R24" s="12" t="s">
        <v>116</v>
      </c>
      <c r="S24" s="12" t="s">
        <v>114</v>
      </c>
      <c r="T24" s="12" t="s">
        <v>106</v>
      </c>
      <c r="U24" s="12" t="s">
        <v>417</v>
      </c>
      <c r="V24" s="12" t="s">
        <v>106</v>
      </c>
      <c r="W24" s="13" t="s">
        <v>418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activeCell="A2" sqref="A2"/>
    </sheetView>
  </sheetViews>
  <sheetFormatPr defaultRowHeight="13.8"/>
  <cols>
    <col min="1" max="1" width="22" customWidth="1"/>
    <col min="2" max="23" width="16" customWidth="1"/>
  </cols>
  <sheetData>
    <row r="1" spans="1:23" ht="20.85" customHeight="1">
      <c r="A1" s="15" t="s">
        <v>451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30.45" customHeight="1">
      <c r="A2" s="21" t="s">
        <v>452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4" spans="1:23" ht="31.95" customHeight="1">
      <c r="A4" s="2" t="s">
        <v>453</v>
      </c>
      <c r="B4" s="3" t="s">
        <v>454</v>
      </c>
      <c r="C4" s="3" t="s">
        <v>455</v>
      </c>
      <c r="D4" s="3" t="s">
        <v>456</v>
      </c>
      <c r="E4" s="3" t="s">
        <v>457</v>
      </c>
      <c r="F4" s="3" t="s">
        <v>458</v>
      </c>
      <c r="G4" s="3" t="s">
        <v>459</v>
      </c>
      <c r="H4" s="3" t="s">
        <v>460</v>
      </c>
      <c r="I4" s="3" t="s">
        <v>461</v>
      </c>
      <c r="J4" s="3" t="s">
        <v>462</v>
      </c>
      <c r="K4" s="3" t="s">
        <v>463</v>
      </c>
      <c r="L4" s="3" t="s">
        <v>464</v>
      </c>
      <c r="M4" s="3" t="s">
        <v>465</v>
      </c>
      <c r="N4" s="3" t="s">
        <v>466</v>
      </c>
      <c r="O4" s="3" t="s">
        <v>467</v>
      </c>
      <c r="P4" s="3" t="s">
        <v>468</v>
      </c>
      <c r="Q4" s="3" t="s">
        <v>101</v>
      </c>
      <c r="R4" s="3" t="s">
        <v>469</v>
      </c>
      <c r="S4" s="3" t="s">
        <v>470</v>
      </c>
      <c r="T4" s="3" t="s">
        <v>471</v>
      </c>
      <c r="U4" s="3" t="s">
        <v>472</v>
      </c>
      <c r="V4" s="3" t="s">
        <v>473</v>
      </c>
      <c r="W4" s="4" t="s">
        <v>474</v>
      </c>
    </row>
    <row r="5" spans="1:23">
      <c r="A5" s="5" t="s">
        <v>120</v>
      </c>
      <c r="B5" s="6">
        <v>151</v>
      </c>
      <c r="C5" s="6">
        <v>30</v>
      </c>
      <c r="D5" s="6">
        <v>25</v>
      </c>
      <c r="E5" s="6">
        <v>23</v>
      </c>
      <c r="F5" s="6">
        <v>21</v>
      </c>
      <c r="G5" s="6">
        <v>14</v>
      </c>
      <c r="H5" s="6">
        <v>2822166</v>
      </c>
      <c r="I5" s="6">
        <v>2802864</v>
      </c>
      <c r="J5" s="6">
        <v>2791414</v>
      </c>
      <c r="K5" s="6">
        <v>2775062</v>
      </c>
      <c r="L5" s="6">
        <v>2735434</v>
      </c>
      <c r="M5" s="6">
        <v>2489423</v>
      </c>
      <c r="N5" s="6">
        <v>34</v>
      </c>
      <c r="O5" s="6">
        <v>474164</v>
      </c>
      <c r="P5" s="6">
        <v>2805651</v>
      </c>
      <c r="Q5" s="6">
        <v>32.65</v>
      </c>
      <c r="R5" s="6">
        <v>168434</v>
      </c>
      <c r="S5" s="6">
        <v>41361</v>
      </c>
      <c r="T5" s="6">
        <v>242484.9</v>
      </c>
      <c r="U5" s="6">
        <v>5</v>
      </c>
      <c r="V5" s="6">
        <v>15</v>
      </c>
      <c r="W5" s="7">
        <v>0</v>
      </c>
    </row>
    <row r="6" spans="1:23">
      <c r="A6" s="8" t="s">
        <v>130</v>
      </c>
      <c r="B6" s="9">
        <v>158</v>
      </c>
      <c r="C6" s="9">
        <v>35</v>
      </c>
      <c r="D6" s="9">
        <v>25</v>
      </c>
      <c r="E6" s="9">
        <v>24</v>
      </c>
      <c r="F6" s="9">
        <v>23</v>
      </c>
      <c r="G6" s="9">
        <v>17</v>
      </c>
      <c r="H6" s="9">
        <v>2801772</v>
      </c>
      <c r="I6" s="9">
        <v>2783447</v>
      </c>
      <c r="J6" s="9">
        <v>2757058</v>
      </c>
      <c r="K6" s="9">
        <v>2748860</v>
      </c>
      <c r="L6" s="9">
        <v>2729697</v>
      </c>
      <c r="M6" s="9">
        <v>2491620</v>
      </c>
      <c r="N6" s="9">
        <v>37</v>
      </c>
      <c r="O6" s="9">
        <v>315526</v>
      </c>
      <c r="P6" s="9">
        <v>2784838</v>
      </c>
      <c r="Q6" s="9">
        <v>32.67</v>
      </c>
      <c r="R6" s="9">
        <v>154095</v>
      </c>
      <c r="S6" s="9">
        <v>48240</v>
      </c>
      <c r="T6" s="9">
        <v>165138</v>
      </c>
      <c r="U6" s="9">
        <v>7</v>
      </c>
      <c r="V6" s="9">
        <v>18</v>
      </c>
      <c r="W6" s="10">
        <v>0</v>
      </c>
    </row>
    <row r="7" spans="1:23">
      <c r="A7" s="11" t="s">
        <v>105</v>
      </c>
      <c r="B7" s="12">
        <v>113</v>
      </c>
      <c r="C7" s="12">
        <v>25</v>
      </c>
      <c r="D7" s="12">
        <v>20</v>
      </c>
      <c r="E7" s="12">
        <v>19</v>
      </c>
      <c r="F7" s="12">
        <v>16</v>
      </c>
      <c r="G7" s="12">
        <v>12</v>
      </c>
      <c r="H7" s="12">
        <v>2781696</v>
      </c>
      <c r="I7" s="12">
        <v>2766185</v>
      </c>
      <c r="J7" s="12">
        <v>2751963</v>
      </c>
      <c r="K7" s="12">
        <v>2743108</v>
      </c>
      <c r="L7" s="12">
        <v>2685243</v>
      </c>
      <c r="M7" s="12">
        <v>2537372</v>
      </c>
      <c r="N7" s="12">
        <v>27</v>
      </c>
      <c r="O7" s="12">
        <v>516033</v>
      </c>
      <c r="P7" s="12">
        <v>2767372</v>
      </c>
      <c r="Q7" s="12">
        <v>32.68</v>
      </c>
      <c r="R7" s="12">
        <v>220588</v>
      </c>
      <c r="S7" s="12">
        <v>89231</v>
      </c>
      <c r="T7" s="12">
        <v>254790.1</v>
      </c>
      <c r="U7" s="12">
        <v>5</v>
      </c>
      <c r="V7" s="12">
        <v>12</v>
      </c>
      <c r="W7" s="1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B6" sqref="B6"/>
    </sheetView>
  </sheetViews>
  <sheetFormatPr defaultRowHeight="13.8"/>
  <cols>
    <col min="1" max="1" width="55" customWidth="1"/>
    <col min="2" max="3" width="16" customWidth="1"/>
    <col min="4" max="4" width="80" customWidth="1"/>
  </cols>
  <sheetData>
    <row r="1" spans="1:4" ht="20.85" customHeight="1">
      <c r="A1" s="15" t="s">
        <v>475</v>
      </c>
      <c r="B1" s="15"/>
      <c r="C1" s="15"/>
      <c r="D1" s="15"/>
    </row>
    <row r="2" spans="1:4" ht="30.45" customHeight="1">
      <c r="A2" s="21" t="s">
        <v>476</v>
      </c>
      <c r="B2" s="1"/>
      <c r="C2" s="1"/>
      <c r="D2" s="1"/>
    </row>
    <row r="4" spans="1:4" ht="31.95" customHeight="1">
      <c r="A4" s="2" t="s">
        <v>477</v>
      </c>
      <c r="B4" s="3" t="s">
        <v>478</v>
      </c>
      <c r="C4" s="3" t="s">
        <v>479</v>
      </c>
      <c r="D4" s="4" t="s">
        <v>480</v>
      </c>
    </row>
    <row r="5" spans="1:4" ht="41.4">
      <c r="A5" s="5" t="s">
        <v>481</v>
      </c>
      <c r="B5" s="6">
        <v>16</v>
      </c>
      <c r="C5" s="6">
        <v>100</v>
      </c>
      <c r="D5" s="7" t="s">
        <v>482</v>
      </c>
    </row>
    <row r="6" spans="1:4" ht="41.4">
      <c r="A6" s="8" t="s">
        <v>483</v>
      </c>
      <c r="B6" s="9">
        <v>16</v>
      </c>
      <c r="C6" s="9">
        <v>100</v>
      </c>
      <c r="D6" s="10" t="s">
        <v>482</v>
      </c>
    </row>
    <row r="7" spans="1:4" ht="41.4">
      <c r="A7" s="8" t="s">
        <v>484</v>
      </c>
      <c r="B7" s="9">
        <v>16</v>
      </c>
      <c r="C7" s="9">
        <v>100</v>
      </c>
      <c r="D7" s="10" t="s">
        <v>482</v>
      </c>
    </row>
    <row r="8" spans="1:4" ht="41.4">
      <c r="A8" s="8" t="s">
        <v>485</v>
      </c>
      <c r="B8" s="9">
        <v>16</v>
      </c>
      <c r="C8" s="9">
        <v>100</v>
      </c>
      <c r="D8" s="10" t="s">
        <v>482</v>
      </c>
    </row>
    <row r="9" spans="1:4" ht="41.4">
      <c r="A9" s="8" t="s">
        <v>486</v>
      </c>
      <c r="B9" s="9">
        <v>16</v>
      </c>
      <c r="C9" s="9">
        <v>100</v>
      </c>
      <c r="D9" s="10" t="s">
        <v>482</v>
      </c>
    </row>
    <row r="10" spans="1:4" ht="41.4">
      <c r="A10" s="8" t="s">
        <v>487</v>
      </c>
      <c r="B10" s="9">
        <v>16</v>
      </c>
      <c r="C10" s="9">
        <v>100</v>
      </c>
      <c r="D10" s="10" t="s">
        <v>482</v>
      </c>
    </row>
    <row r="11" spans="1:4" ht="41.4">
      <c r="A11" s="8" t="s">
        <v>488</v>
      </c>
      <c r="B11" s="9">
        <v>16</v>
      </c>
      <c r="C11" s="9">
        <v>100</v>
      </c>
      <c r="D11" s="10" t="s">
        <v>482</v>
      </c>
    </row>
    <row r="12" spans="1:4" ht="41.4">
      <c r="A12" s="8" t="s">
        <v>489</v>
      </c>
      <c r="B12" s="9">
        <v>16</v>
      </c>
      <c r="C12" s="9">
        <v>100</v>
      </c>
      <c r="D12" s="10" t="s">
        <v>482</v>
      </c>
    </row>
    <row r="13" spans="1:4" ht="41.4">
      <c r="A13" s="8" t="s">
        <v>490</v>
      </c>
      <c r="B13" s="9">
        <v>15</v>
      </c>
      <c r="C13" s="9">
        <v>93.75</v>
      </c>
      <c r="D13" s="10" t="s">
        <v>491</v>
      </c>
    </row>
    <row r="14" spans="1:4" ht="41.4">
      <c r="A14" s="8" t="s">
        <v>492</v>
      </c>
      <c r="B14" s="9">
        <v>15</v>
      </c>
      <c r="C14" s="9">
        <v>93.75</v>
      </c>
      <c r="D14" s="10" t="s">
        <v>491</v>
      </c>
    </row>
    <row r="15" spans="1:4" ht="27.6">
      <c r="A15" s="8" t="s">
        <v>493</v>
      </c>
      <c r="B15" s="9">
        <v>15</v>
      </c>
      <c r="C15" s="9">
        <v>93.75</v>
      </c>
      <c r="D15" s="10" t="s">
        <v>494</v>
      </c>
    </row>
    <row r="16" spans="1:4" ht="27.6">
      <c r="A16" s="8" t="s">
        <v>495</v>
      </c>
      <c r="B16" s="9">
        <v>14</v>
      </c>
      <c r="C16" s="9">
        <v>87.5</v>
      </c>
      <c r="D16" s="10" t="s">
        <v>496</v>
      </c>
    </row>
    <row r="17" spans="1:4" ht="27.6">
      <c r="A17" s="8" t="s">
        <v>497</v>
      </c>
      <c r="B17" s="9">
        <v>13</v>
      </c>
      <c r="C17" s="9">
        <v>81.25</v>
      </c>
      <c r="D17" s="10" t="s">
        <v>498</v>
      </c>
    </row>
    <row r="18" spans="1:4" ht="27.6">
      <c r="A18" s="8" t="s">
        <v>499</v>
      </c>
      <c r="B18" s="9">
        <v>11</v>
      </c>
      <c r="C18" s="9">
        <v>68.75</v>
      </c>
      <c r="D18" s="10" t="s">
        <v>500</v>
      </c>
    </row>
    <row r="19" spans="1:4" ht="27.6">
      <c r="A19" s="8" t="s">
        <v>501</v>
      </c>
      <c r="B19" s="9">
        <v>9</v>
      </c>
      <c r="C19" s="9">
        <v>56.25</v>
      </c>
      <c r="D19" s="10" t="s">
        <v>502</v>
      </c>
    </row>
    <row r="20" spans="1:4" ht="27.6">
      <c r="A20" s="8" t="s">
        <v>503</v>
      </c>
      <c r="B20" s="9">
        <v>8</v>
      </c>
      <c r="C20" s="9">
        <v>50</v>
      </c>
      <c r="D20" s="10" t="s">
        <v>504</v>
      </c>
    </row>
    <row r="21" spans="1:4" ht="27.6">
      <c r="A21" s="8" t="s">
        <v>505</v>
      </c>
      <c r="B21" s="9">
        <v>8</v>
      </c>
      <c r="C21" s="9">
        <v>50</v>
      </c>
      <c r="D21" s="10" t="s">
        <v>506</v>
      </c>
    </row>
    <row r="22" spans="1:4" ht="27.6">
      <c r="A22" s="8" t="s">
        <v>507</v>
      </c>
      <c r="B22" s="9">
        <v>6</v>
      </c>
      <c r="C22" s="9">
        <v>37.5</v>
      </c>
      <c r="D22" s="10" t="s">
        <v>508</v>
      </c>
    </row>
    <row r="23" spans="1:4" ht="27.6">
      <c r="A23" s="8" t="s">
        <v>509</v>
      </c>
      <c r="B23" s="9">
        <v>6</v>
      </c>
      <c r="C23" s="9">
        <v>37.5</v>
      </c>
      <c r="D23" s="10" t="s">
        <v>510</v>
      </c>
    </row>
    <row r="24" spans="1:4" ht="27.6">
      <c r="A24" s="8" t="s">
        <v>511</v>
      </c>
      <c r="B24" s="9">
        <v>6</v>
      </c>
      <c r="C24" s="9">
        <v>37.5</v>
      </c>
      <c r="D24" s="10" t="s">
        <v>510</v>
      </c>
    </row>
    <row r="25" spans="1:4">
      <c r="A25" s="8" t="s">
        <v>512</v>
      </c>
      <c r="B25" s="9">
        <v>5</v>
      </c>
      <c r="C25" s="9">
        <v>31.25</v>
      </c>
      <c r="D25" s="10" t="s">
        <v>513</v>
      </c>
    </row>
    <row r="26" spans="1:4">
      <c r="A26" s="8" t="s">
        <v>514</v>
      </c>
      <c r="B26" s="9">
        <v>5</v>
      </c>
      <c r="C26" s="9">
        <v>31.25</v>
      </c>
      <c r="D26" s="10" t="s">
        <v>513</v>
      </c>
    </row>
    <row r="27" spans="1:4">
      <c r="A27" s="8" t="s">
        <v>515</v>
      </c>
      <c r="B27" s="9">
        <v>3</v>
      </c>
      <c r="C27" s="9">
        <v>18.75</v>
      </c>
      <c r="D27" s="10" t="s">
        <v>516</v>
      </c>
    </row>
    <row r="28" spans="1:4">
      <c r="A28" s="8" t="s">
        <v>517</v>
      </c>
      <c r="B28" s="9">
        <v>3</v>
      </c>
      <c r="C28" s="9">
        <v>18.75</v>
      </c>
      <c r="D28" s="10" t="s">
        <v>518</v>
      </c>
    </row>
    <row r="29" spans="1:4">
      <c r="A29" s="8" t="s">
        <v>519</v>
      </c>
      <c r="B29" s="9">
        <v>3</v>
      </c>
      <c r="C29" s="9">
        <v>18.75</v>
      </c>
      <c r="D29" s="10" t="s">
        <v>518</v>
      </c>
    </row>
    <row r="30" spans="1:4">
      <c r="A30" s="8" t="s">
        <v>520</v>
      </c>
      <c r="B30" s="9">
        <v>2</v>
      </c>
      <c r="C30" s="9">
        <v>12.5</v>
      </c>
      <c r="D30" s="10" t="s">
        <v>521</v>
      </c>
    </row>
    <row r="31" spans="1:4">
      <c r="A31" s="8" t="s">
        <v>522</v>
      </c>
      <c r="B31" s="9">
        <v>2</v>
      </c>
      <c r="C31" s="9">
        <v>12.5</v>
      </c>
      <c r="D31" s="10" t="s">
        <v>523</v>
      </c>
    </row>
    <row r="32" spans="1:4">
      <c r="A32" s="8" t="s">
        <v>524</v>
      </c>
      <c r="B32" s="9">
        <v>2</v>
      </c>
      <c r="C32" s="9">
        <v>12.5</v>
      </c>
      <c r="D32" s="10" t="s">
        <v>525</v>
      </c>
    </row>
    <row r="33" spans="1:4" ht="27.6">
      <c r="A33" s="8" t="s">
        <v>526</v>
      </c>
      <c r="B33" s="9">
        <v>2</v>
      </c>
      <c r="C33" s="9">
        <v>12.5</v>
      </c>
      <c r="D33" s="10" t="s">
        <v>527</v>
      </c>
    </row>
    <row r="34" spans="1:4">
      <c r="A34" s="8" t="s">
        <v>528</v>
      </c>
      <c r="B34" s="9">
        <v>2</v>
      </c>
      <c r="C34" s="9">
        <v>12.5</v>
      </c>
      <c r="D34" s="10" t="s">
        <v>529</v>
      </c>
    </row>
    <row r="35" spans="1:4">
      <c r="A35" s="8" t="s">
        <v>530</v>
      </c>
      <c r="B35" s="9">
        <v>1</v>
      </c>
      <c r="C35" s="9">
        <v>6.25</v>
      </c>
      <c r="D35" s="10" t="s">
        <v>105</v>
      </c>
    </row>
    <row r="36" spans="1:4">
      <c r="A36" s="8" t="s">
        <v>531</v>
      </c>
      <c r="B36" s="9">
        <v>1</v>
      </c>
      <c r="C36" s="9">
        <v>6.25</v>
      </c>
      <c r="D36" s="10" t="s">
        <v>130</v>
      </c>
    </row>
    <row r="37" spans="1:4">
      <c r="A37" s="8" t="s">
        <v>532</v>
      </c>
      <c r="B37" s="9">
        <v>1</v>
      </c>
      <c r="C37" s="9">
        <v>6.25</v>
      </c>
      <c r="D37" s="10" t="s">
        <v>191</v>
      </c>
    </row>
    <row r="38" spans="1:4">
      <c r="A38" s="8" t="s">
        <v>533</v>
      </c>
      <c r="B38" s="9">
        <v>1</v>
      </c>
      <c r="C38" s="9">
        <v>6.25</v>
      </c>
      <c r="D38" s="10" t="s">
        <v>214</v>
      </c>
    </row>
    <row r="39" spans="1:4">
      <c r="A39" s="8" t="s">
        <v>534</v>
      </c>
      <c r="B39" s="9">
        <v>1</v>
      </c>
      <c r="C39" s="9">
        <v>6.25</v>
      </c>
      <c r="D39" s="10" t="s">
        <v>181</v>
      </c>
    </row>
    <row r="40" spans="1:4">
      <c r="A40" s="8" t="s">
        <v>535</v>
      </c>
      <c r="B40" s="9">
        <v>1</v>
      </c>
      <c r="C40" s="9">
        <v>6.25</v>
      </c>
      <c r="D40" s="10" t="s">
        <v>120</v>
      </c>
    </row>
    <row r="41" spans="1:4">
      <c r="A41" s="8" t="s">
        <v>536</v>
      </c>
      <c r="B41" s="9">
        <v>1</v>
      </c>
      <c r="C41" s="9">
        <v>6.25</v>
      </c>
      <c r="D41" s="10" t="s">
        <v>261</v>
      </c>
    </row>
    <row r="42" spans="1:4">
      <c r="A42" s="8" t="s">
        <v>537</v>
      </c>
      <c r="B42" s="9">
        <v>1</v>
      </c>
      <c r="C42" s="9">
        <v>6.25</v>
      </c>
      <c r="D42" s="10" t="s">
        <v>261</v>
      </c>
    </row>
    <row r="43" spans="1:4" ht="27.6">
      <c r="A43" s="8" t="s">
        <v>538</v>
      </c>
      <c r="B43" s="9">
        <v>1</v>
      </c>
      <c r="C43" s="9">
        <v>6.25</v>
      </c>
      <c r="D43" s="10" t="s">
        <v>539</v>
      </c>
    </row>
    <row r="44" spans="1:4">
      <c r="A44" s="11" t="s">
        <v>540</v>
      </c>
      <c r="B44" s="12">
        <v>1</v>
      </c>
      <c r="C44" s="12">
        <v>6.25</v>
      </c>
      <c r="D44" s="13" t="s">
        <v>105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A2" sqref="A2"/>
    </sheetView>
  </sheetViews>
  <sheetFormatPr defaultRowHeight="13.8"/>
  <cols>
    <col min="1" max="1" width="22" customWidth="1"/>
    <col min="2" max="2" width="90" customWidth="1"/>
    <col min="3" max="3" width="16" customWidth="1"/>
  </cols>
  <sheetData>
    <row r="1" spans="1:3" ht="20.85" customHeight="1">
      <c r="A1" s="15" t="s">
        <v>541</v>
      </c>
      <c r="B1" s="15"/>
      <c r="C1" s="15"/>
    </row>
    <row r="2" spans="1:3" ht="30.45" customHeight="1">
      <c r="A2" s="21" t="s">
        <v>542</v>
      </c>
      <c r="B2" s="1"/>
      <c r="C2" s="1"/>
    </row>
    <row r="4" spans="1:3" ht="31.95" customHeight="1">
      <c r="A4" s="2" t="s">
        <v>543</v>
      </c>
      <c r="B4" s="3" t="s">
        <v>544</v>
      </c>
      <c r="C4" s="4" t="s">
        <v>545</v>
      </c>
    </row>
    <row r="5" spans="1:3">
      <c r="A5" s="5" t="s">
        <v>546</v>
      </c>
      <c r="B5" s="6" t="s">
        <v>547</v>
      </c>
      <c r="C5" s="7">
        <v>222</v>
      </c>
    </row>
    <row r="6" spans="1:3">
      <c r="A6" s="8" t="s">
        <v>546</v>
      </c>
      <c r="B6" s="9" t="s">
        <v>548</v>
      </c>
      <c r="C6" s="10">
        <v>57</v>
      </c>
    </row>
    <row r="7" spans="1:3">
      <c r="A7" s="8" t="s">
        <v>546</v>
      </c>
      <c r="B7" s="9" t="s">
        <v>549</v>
      </c>
      <c r="C7" s="10">
        <v>42</v>
      </c>
    </row>
    <row r="8" spans="1:3">
      <c r="A8" s="8" t="s">
        <v>546</v>
      </c>
      <c r="B8" s="9" t="s">
        <v>550</v>
      </c>
      <c r="C8" s="10">
        <v>14</v>
      </c>
    </row>
    <row r="9" spans="1:3">
      <c r="A9" s="8" t="s">
        <v>546</v>
      </c>
      <c r="B9" s="9" t="s">
        <v>551</v>
      </c>
      <c r="C9" s="10">
        <v>3</v>
      </c>
    </row>
    <row r="10" spans="1:3">
      <c r="A10" s="8" t="s">
        <v>552</v>
      </c>
      <c r="B10" s="9" t="s">
        <v>553</v>
      </c>
      <c r="C10" s="10">
        <v>97</v>
      </c>
    </row>
    <row r="11" spans="1:3">
      <c r="A11" s="8" t="s">
        <v>552</v>
      </c>
      <c r="B11" s="9" t="s">
        <v>554</v>
      </c>
      <c r="C11" s="10">
        <v>32</v>
      </c>
    </row>
    <row r="12" spans="1:3">
      <c r="A12" s="8" t="s">
        <v>552</v>
      </c>
      <c r="B12" s="9" t="s">
        <v>555</v>
      </c>
      <c r="C12" s="10">
        <v>31</v>
      </c>
    </row>
    <row r="13" spans="1:3">
      <c r="A13" s="8" t="s">
        <v>552</v>
      </c>
      <c r="B13" s="9" t="s">
        <v>556</v>
      </c>
      <c r="C13" s="10">
        <v>31</v>
      </c>
    </row>
    <row r="14" spans="1:3">
      <c r="A14" s="8" t="s">
        <v>552</v>
      </c>
      <c r="B14" s="9" t="s">
        <v>557</v>
      </c>
      <c r="C14" s="10">
        <v>23</v>
      </c>
    </row>
    <row r="15" spans="1:3">
      <c r="A15" s="8" t="s">
        <v>552</v>
      </c>
      <c r="B15" s="9" t="s">
        <v>558</v>
      </c>
      <c r="C15" s="10">
        <v>23</v>
      </c>
    </row>
    <row r="16" spans="1:3">
      <c r="A16" s="8" t="s">
        <v>552</v>
      </c>
      <c r="B16" s="9" t="s">
        <v>559</v>
      </c>
      <c r="C16" s="10">
        <v>19</v>
      </c>
    </row>
    <row r="17" spans="1:3">
      <c r="A17" s="8" t="s">
        <v>552</v>
      </c>
      <c r="B17" s="9" t="s">
        <v>560</v>
      </c>
      <c r="C17" s="10">
        <v>16</v>
      </c>
    </row>
    <row r="18" spans="1:3">
      <c r="A18" s="8" t="s">
        <v>552</v>
      </c>
      <c r="B18" s="9" t="s">
        <v>561</v>
      </c>
      <c r="C18" s="10">
        <v>16</v>
      </c>
    </row>
    <row r="19" spans="1:3" ht="27.6">
      <c r="A19" s="8" t="s">
        <v>552</v>
      </c>
      <c r="B19" s="9" t="s">
        <v>562</v>
      </c>
      <c r="C19" s="10">
        <v>15</v>
      </c>
    </row>
    <row r="20" spans="1:3" ht="27.6">
      <c r="A20" s="8" t="s">
        <v>552</v>
      </c>
      <c r="B20" s="9" t="s">
        <v>563</v>
      </c>
      <c r="C20" s="10">
        <v>13</v>
      </c>
    </row>
    <row r="21" spans="1:3" ht="27.6">
      <c r="A21" s="8" t="s">
        <v>552</v>
      </c>
      <c r="B21" s="9" t="s">
        <v>564</v>
      </c>
      <c r="C21" s="10">
        <v>11</v>
      </c>
    </row>
    <row r="22" spans="1:3">
      <c r="A22" s="8" t="s">
        <v>552</v>
      </c>
      <c r="B22" s="9" t="s">
        <v>565</v>
      </c>
      <c r="C22" s="10">
        <v>3</v>
      </c>
    </row>
    <row r="23" spans="1:3">
      <c r="A23" s="8" t="s">
        <v>552</v>
      </c>
      <c r="B23" s="9" t="s">
        <v>566</v>
      </c>
      <c r="C23" s="10">
        <v>3</v>
      </c>
    </row>
    <row r="24" spans="1:3">
      <c r="A24" s="8" t="s">
        <v>552</v>
      </c>
      <c r="B24" s="9" t="s">
        <v>567</v>
      </c>
      <c r="C24" s="10">
        <v>2</v>
      </c>
    </row>
    <row r="25" spans="1:3">
      <c r="A25" s="8" t="s">
        <v>552</v>
      </c>
      <c r="B25" s="9" t="s">
        <v>568</v>
      </c>
      <c r="C25" s="10">
        <v>1</v>
      </c>
    </row>
    <row r="26" spans="1:3">
      <c r="A26" s="8" t="s">
        <v>552</v>
      </c>
      <c r="B26" s="9" t="s">
        <v>569</v>
      </c>
      <c r="C26" s="10">
        <v>1</v>
      </c>
    </row>
    <row r="27" spans="1:3">
      <c r="A27" s="11" t="s">
        <v>552</v>
      </c>
      <c r="B27" s="12" t="s">
        <v>570</v>
      </c>
      <c r="C27" s="13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A2" sqref="A2"/>
    </sheetView>
  </sheetViews>
  <sheetFormatPr defaultRowHeight="13.8"/>
  <cols>
    <col min="1" max="1" width="24" customWidth="1"/>
    <col min="2" max="3" width="16" customWidth="1"/>
    <col min="4" max="4" width="48" customWidth="1"/>
    <col min="5" max="11" width="16" customWidth="1"/>
  </cols>
  <sheetData>
    <row r="1" spans="1:11" ht="20.85" customHeight="1">
      <c r="A1" s="15" t="s">
        <v>571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0.45" customHeight="1">
      <c r="A2" s="21" t="s">
        <v>572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31.95" customHeight="1">
      <c r="A4" s="2" t="s">
        <v>573</v>
      </c>
      <c r="B4" s="3" t="s">
        <v>574</v>
      </c>
      <c r="C4" s="3" t="s">
        <v>575</v>
      </c>
      <c r="D4" s="3" t="s">
        <v>576</v>
      </c>
      <c r="E4" s="3" t="s">
        <v>577</v>
      </c>
      <c r="F4" s="3" t="s">
        <v>578</v>
      </c>
      <c r="G4" s="3" t="s">
        <v>579</v>
      </c>
      <c r="H4" s="3" t="s">
        <v>580</v>
      </c>
      <c r="I4" s="3" t="s">
        <v>581</v>
      </c>
      <c r="J4" s="3" t="s">
        <v>582</v>
      </c>
      <c r="K4" s="4" t="s">
        <v>583</v>
      </c>
    </row>
    <row r="5" spans="1:11">
      <c r="A5" s="5" t="s">
        <v>584</v>
      </c>
      <c r="B5" s="6" t="s">
        <v>585</v>
      </c>
      <c r="C5" s="6" t="s">
        <v>586</v>
      </c>
      <c r="D5" s="6" t="s">
        <v>587</v>
      </c>
      <c r="E5" s="6">
        <v>1470.9781100420601</v>
      </c>
      <c r="F5" s="6">
        <v>4.3701665230154196</v>
      </c>
      <c r="G5" s="6">
        <v>1.03193628175823</v>
      </c>
      <c r="H5" s="6">
        <v>4.2349189579510096</v>
      </c>
      <c r="I5" s="6">
        <v>2.2863414633531198E-5</v>
      </c>
      <c r="J5" s="6">
        <v>8.4738884390088004E-3</v>
      </c>
      <c r="K5" s="7" t="s">
        <v>588</v>
      </c>
    </row>
    <row r="6" spans="1:11">
      <c r="A6" s="8" t="s">
        <v>589</v>
      </c>
      <c r="B6" s="9" t="s">
        <v>590</v>
      </c>
      <c r="C6" s="9" t="s">
        <v>106</v>
      </c>
      <c r="D6" s="9" t="s">
        <v>591</v>
      </c>
      <c r="E6" s="9">
        <v>13.354844777101899</v>
      </c>
      <c r="F6" s="9">
        <v>1.7784089506437</v>
      </c>
      <c r="G6" s="9">
        <v>0.52588295903659599</v>
      </c>
      <c r="H6" s="9">
        <v>3.3817580891035002</v>
      </c>
      <c r="I6" s="9">
        <v>7.2023540277470004E-4</v>
      </c>
      <c r="J6" s="9">
        <v>7.6742936371826401E-2</v>
      </c>
      <c r="K6" s="10" t="s">
        <v>588</v>
      </c>
    </row>
    <row r="7" spans="1:11">
      <c r="A7" s="8" t="s">
        <v>592</v>
      </c>
      <c r="B7" s="9" t="s">
        <v>593</v>
      </c>
      <c r="C7" s="9" t="s">
        <v>594</v>
      </c>
      <c r="D7" s="9" t="s">
        <v>595</v>
      </c>
      <c r="E7" s="9">
        <v>287.74483654925803</v>
      </c>
      <c r="F7" s="9">
        <v>-0.60796620701094595</v>
      </c>
      <c r="G7" s="9">
        <v>0.17062587985007599</v>
      </c>
      <c r="H7" s="9">
        <v>-3.5631535353555401</v>
      </c>
      <c r="I7" s="9">
        <v>3.6642621652470002E-4</v>
      </c>
      <c r="J7" s="9">
        <v>5.1136814217230903E-2</v>
      </c>
      <c r="K7" s="10" t="s">
        <v>596</v>
      </c>
    </row>
    <row r="8" spans="1:11">
      <c r="A8" s="8" t="s">
        <v>597</v>
      </c>
      <c r="B8" s="9" t="s">
        <v>598</v>
      </c>
      <c r="C8" s="9" t="s">
        <v>106</v>
      </c>
      <c r="D8" s="9" t="s">
        <v>599</v>
      </c>
      <c r="E8" s="9">
        <v>14.418448741322599</v>
      </c>
      <c r="F8" s="9">
        <v>1.6526286614141901</v>
      </c>
      <c r="G8" s="9">
        <v>0.44256638325909098</v>
      </c>
      <c r="H8" s="9">
        <v>3.7341938383211799</v>
      </c>
      <c r="I8" s="9">
        <v>1.883174184711E-4</v>
      </c>
      <c r="J8" s="9">
        <v>3.3789525371388497E-2</v>
      </c>
      <c r="K8" s="10" t="s">
        <v>588</v>
      </c>
    </row>
    <row r="9" spans="1:11">
      <c r="A9" s="8" t="s">
        <v>600</v>
      </c>
      <c r="B9" s="9" t="s">
        <v>601</v>
      </c>
      <c r="C9" s="9" t="s">
        <v>602</v>
      </c>
      <c r="D9" s="9" t="s">
        <v>603</v>
      </c>
      <c r="E9" s="9">
        <v>398.94687280187497</v>
      </c>
      <c r="F9" s="9">
        <v>1.6506736593740701</v>
      </c>
      <c r="G9" s="9">
        <v>0.216809867161707</v>
      </c>
      <c r="H9" s="9">
        <v>7.6134618824470897</v>
      </c>
      <c r="I9" s="9">
        <v>2.6685005137005501E-14</v>
      </c>
      <c r="J9" s="9">
        <v>6.7032732904157692E-11</v>
      </c>
      <c r="K9" s="10" t="s">
        <v>588</v>
      </c>
    </row>
    <row r="10" spans="1:11">
      <c r="A10" s="8" t="s">
        <v>604</v>
      </c>
      <c r="B10" s="9" t="s">
        <v>605</v>
      </c>
      <c r="C10" s="9" t="s">
        <v>106</v>
      </c>
      <c r="D10" s="9" t="s">
        <v>606</v>
      </c>
      <c r="E10" s="9">
        <v>2.9565045850782399</v>
      </c>
      <c r="F10" s="9">
        <v>4.2263900990082197</v>
      </c>
      <c r="G10" s="9">
        <v>1.1969667619868101</v>
      </c>
      <c r="H10" s="9">
        <v>3.5309168418285499</v>
      </c>
      <c r="I10" s="9">
        <v>4.141219222869E-4</v>
      </c>
      <c r="J10" s="9">
        <v>5.4751277304462997E-2</v>
      </c>
      <c r="K10" s="10" t="s">
        <v>588</v>
      </c>
    </row>
    <row r="11" spans="1:11">
      <c r="A11" s="8" t="s">
        <v>607</v>
      </c>
      <c r="B11" s="9" t="s">
        <v>608</v>
      </c>
      <c r="C11" s="9" t="s">
        <v>609</v>
      </c>
      <c r="D11" s="9" t="s">
        <v>610</v>
      </c>
      <c r="E11" s="9">
        <v>21.748563405229099</v>
      </c>
      <c r="F11" s="9">
        <v>1.3200471872311399</v>
      </c>
      <c r="G11" s="9">
        <v>0.37778724186291601</v>
      </c>
      <c r="H11" s="9">
        <v>3.4941550188985402</v>
      </c>
      <c r="I11" s="9">
        <v>4.755647915963E-4</v>
      </c>
      <c r="J11" s="9">
        <v>5.97309378245027E-2</v>
      </c>
      <c r="K11" s="10" t="s">
        <v>588</v>
      </c>
    </row>
    <row r="12" spans="1:11">
      <c r="A12" s="8" t="s">
        <v>611</v>
      </c>
      <c r="B12" s="9" t="s">
        <v>612</v>
      </c>
      <c r="C12" s="9" t="s">
        <v>613</v>
      </c>
      <c r="D12" s="9" t="s">
        <v>614</v>
      </c>
      <c r="E12" s="9">
        <v>11.477433650331999</v>
      </c>
      <c r="F12" s="9">
        <v>1.78168089023035</v>
      </c>
      <c r="G12" s="9">
        <v>0.49020393601631301</v>
      </c>
      <c r="H12" s="9">
        <v>3.6345707558151101</v>
      </c>
      <c r="I12" s="9">
        <v>2.7844383508950001E-4</v>
      </c>
      <c r="J12" s="9">
        <v>4.3715682109057998E-2</v>
      </c>
      <c r="K12" s="10" t="s">
        <v>588</v>
      </c>
    </row>
    <row r="13" spans="1:11">
      <c r="A13" s="8" t="s">
        <v>615</v>
      </c>
      <c r="B13" s="9" t="s">
        <v>616</v>
      </c>
      <c r="C13" s="9" t="s">
        <v>617</v>
      </c>
      <c r="D13" s="9" t="s">
        <v>618</v>
      </c>
      <c r="E13" s="9">
        <v>244.677830729481</v>
      </c>
      <c r="F13" s="9">
        <v>1.9416902574727599</v>
      </c>
      <c r="G13" s="9">
        <v>0.56283868473991105</v>
      </c>
      <c r="H13" s="9">
        <v>3.4498166350630699</v>
      </c>
      <c r="I13" s="9">
        <v>5.6096744286299996E-4</v>
      </c>
      <c r="J13" s="9">
        <v>6.7102391260576294E-2</v>
      </c>
      <c r="K13" s="10" t="s">
        <v>588</v>
      </c>
    </row>
    <row r="14" spans="1:11">
      <c r="A14" s="8" t="s">
        <v>619</v>
      </c>
      <c r="B14" s="9" t="s">
        <v>620</v>
      </c>
      <c r="C14" s="9" t="s">
        <v>106</v>
      </c>
      <c r="D14" s="9" t="s">
        <v>621</v>
      </c>
      <c r="E14" s="9">
        <v>209.018000004322</v>
      </c>
      <c r="F14" s="9">
        <v>1.96965882350402</v>
      </c>
      <c r="G14" s="9">
        <v>0.30231869671414202</v>
      </c>
      <c r="H14" s="9">
        <v>6.5151737054702599</v>
      </c>
      <c r="I14" s="9">
        <v>7.2605587657097093E-11</v>
      </c>
      <c r="J14" s="9">
        <v>9.1192618097314006E-8</v>
      </c>
      <c r="K14" s="10" t="s">
        <v>588</v>
      </c>
    </row>
    <row r="15" spans="1:11">
      <c r="A15" s="8" t="s">
        <v>622</v>
      </c>
      <c r="B15" s="9" t="s">
        <v>623</v>
      </c>
      <c r="C15" s="9" t="s">
        <v>106</v>
      </c>
      <c r="D15" s="9" t="s">
        <v>624</v>
      </c>
      <c r="E15" s="9">
        <v>46.594496691168203</v>
      </c>
      <c r="F15" s="9">
        <v>-1.60306479590909</v>
      </c>
      <c r="G15" s="9">
        <v>0.40480885966633001</v>
      </c>
      <c r="H15" s="9">
        <v>-3.96005363427677</v>
      </c>
      <c r="I15" s="9">
        <v>7.4932931983862596E-5</v>
      </c>
      <c r="J15" s="9">
        <v>1.8823152514346301E-2</v>
      </c>
      <c r="K15" s="10" t="s">
        <v>596</v>
      </c>
    </row>
    <row r="16" spans="1:11">
      <c r="A16" s="8" t="s">
        <v>625</v>
      </c>
      <c r="B16" s="9" t="s">
        <v>626</v>
      </c>
      <c r="C16" s="9" t="s">
        <v>106</v>
      </c>
      <c r="D16" s="9" t="s">
        <v>627</v>
      </c>
      <c r="E16" s="9">
        <v>286.28553136303998</v>
      </c>
      <c r="F16" s="9">
        <v>-0.66410174572106195</v>
      </c>
      <c r="G16" s="9">
        <v>0.162465043671424</v>
      </c>
      <c r="H16" s="9">
        <v>-4.0876592940458503</v>
      </c>
      <c r="I16" s="9">
        <v>4.3574746592492303E-5</v>
      </c>
      <c r="J16" s="9">
        <v>1.3682470430042599E-2</v>
      </c>
      <c r="K16" s="10" t="s">
        <v>596</v>
      </c>
    </row>
    <row r="17" spans="1:11">
      <c r="A17" s="8" t="s">
        <v>628</v>
      </c>
      <c r="B17" s="9" t="s">
        <v>629</v>
      </c>
      <c r="C17" s="9" t="s">
        <v>106</v>
      </c>
      <c r="D17" s="9" t="s">
        <v>630</v>
      </c>
      <c r="E17" s="9">
        <v>54.362352017377098</v>
      </c>
      <c r="F17" s="9">
        <v>1.1869852687089699</v>
      </c>
      <c r="G17" s="9">
        <v>0.24663149094622</v>
      </c>
      <c r="H17" s="9">
        <v>4.8127887649505503</v>
      </c>
      <c r="I17" s="9">
        <v>1.4883858530107599E-6</v>
      </c>
      <c r="J17" s="9">
        <v>9.3470631569070003E-4</v>
      </c>
      <c r="K17" s="10" t="s">
        <v>588</v>
      </c>
    </row>
    <row r="18" spans="1:11">
      <c r="A18" s="8" t="s">
        <v>631</v>
      </c>
      <c r="B18" s="9" t="s">
        <v>632</v>
      </c>
      <c r="C18" s="9" t="s">
        <v>106</v>
      </c>
      <c r="D18" s="9" t="s">
        <v>633</v>
      </c>
      <c r="E18" s="9">
        <v>30.4726287849983</v>
      </c>
      <c r="F18" s="9">
        <v>-1.41447034921572</v>
      </c>
      <c r="G18" s="9">
        <v>0.35471378460363001</v>
      </c>
      <c r="H18" s="9">
        <v>-3.9876385147994902</v>
      </c>
      <c r="I18" s="9">
        <v>6.6734242406921794E-5</v>
      </c>
      <c r="J18" s="9">
        <v>1.8626268547354202E-2</v>
      </c>
      <c r="K18" s="10" t="s">
        <v>596</v>
      </c>
    </row>
    <row r="19" spans="1:11">
      <c r="A19" s="8" t="s">
        <v>634</v>
      </c>
      <c r="B19" s="9" t="s">
        <v>635</v>
      </c>
      <c r="C19" s="9" t="s">
        <v>106</v>
      </c>
      <c r="D19" s="9" t="s">
        <v>636</v>
      </c>
      <c r="E19" s="9">
        <v>171.35912360714599</v>
      </c>
      <c r="F19" s="9">
        <v>-2.9194176424179399</v>
      </c>
      <c r="G19" s="9">
        <v>0.769988878340087</v>
      </c>
      <c r="H19" s="9">
        <v>-3.7915062470921801</v>
      </c>
      <c r="I19" s="9">
        <v>1.497363811926E-4</v>
      </c>
      <c r="J19" s="9">
        <v>2.8933676119692602E-2</v>
      </c>
      <c r="K19" s="10" t="s">
        <v>596</v>
      </c>
    </row>
    <row r="20" spans="1:11">
      <c r="A20" s="8" t="s">
        <v>637</v>
      </c>
      <c r="B20" s="9" t="s">
        <v>638</v>
      </c>
      <c r="C20" s="9" t="s">
        <v>639</v>
      </c>
      <c r="D20" s="9" t="s">
        <v>640</v>
      </c>
      <c r="E20" s="9">
        <v>485.75139368243401</v>
      </c>
      <c r="F20" s="9">
        <v>-3.0229001295341602</v>
      </c>
      <c r="G20" s="9">
        <v>0.82903155425534203</v>
      </c>
      <c r="H20" s="9">
        <v>-3.6463028626810301</v>
      </c>
      <c r="I20" s="9">
        <v>2.6604040102860002E-4</v>
      </c>
      <c r="J20" s="9">
        <v>4.3715682109057998E-2</v>
      </c>
      <c r="K20" s="10" t="s">
        <v>596</v>
      </c>
    </row>
    <row r="21" spans="1:11">
      <c r="A21" s="8" t="s">
        <v>641</v>
      </c>
      <c r="B21" s="9" t="s">
        <v>642</v>
      </c>
      <c r="C21" s="9" t="s">
        <v>106</v>
      </c>
      <c r="D21" s="9" t="s">
        <v>643</v>
      </c>
      <c r="E21" s="9">
        <v>46.525119713947099</v>
      </c>
      <c r="F21" s="9">
        <v>1.1100349085780701</v>
      </c>
      <c r="G21" s="9">
        <v>0.28836573596522902</v>
      </c>
      <c r="H21" s="9">
        <v>3.8493994609398299</v>
      </c>
      <c r="I21" s="9">
        <v>1.184077717405E-4</v>
      </c>
      <c r="J21" s="9">
        <v>2.7040029328388501E-2</v>
      </c>
      <c r="K21" s="10" t="s">
        <v>588</v>
      </c>
    </row>
    <row r="22" spans="1:11">
      <c r="A22" s="8" t="s">
        <v>644</v>
      </c>
      <c r="B22" s="9" t="s">
        <v>645</v>
      </c>
      <c r="C22" s="9" t="s">
        <v>106</v>
      </c>
      <c r="D22" s="9" t="s">
        <v>646</v>
      </c>
      <c r="E22" s="9">
        <v>55.562297281211102</v>
      </c>
      <c r="F22" s="9">
        <v>1.6626304281704101</v>
      </c>
      <c r="G22" s="9">
        <v>0.33369876816072302</v>
      </c>
      <c r="H22" s="9">
        <v>4.9824290252387797</v>
      </c>
      <c r="I22" s="9">
        <v>6.2791024946420303E-7</v>
      </c>
      <c r="J22" s="9">
        <v>5.2577018221799997E-4</v>
      </c>
      <c r="K22" s="10" t="s">
        <v>588</v>
      </c>
    </row>
    <row r="23" spans="1:11">
      <c r="A23" s="8" t="s">
        <v>647</v>
      </c>
      <c r="B23" s="9" t="s">
        <v>648</v>
      </c>
      <c r="C23" s="9" t="s">
        <v>649</v>
      </c>
      <c r="D23" s="9" t="s">
        <v>650</v>
      </c>
      <c r="E23" s="9">
        <v>98.116642644492003</v>
      </c>
      <c r="F23" s="9">
        <v>-1.07455727416477</v>
      </c>
      <c r="G23" s="9">
        <v>0.28175410900185399</v>
      </c>
      <c r="H23" s="9">
        <v>-3.8138122562666901</v>
      </c>
      <c r="I23" s="9">
        <v>1.3683943731109999E-4</v>
      </c>
      <c r="J23" s="9">
        <v>2.86450555437965E-2</v>
      </c>
      <c r="K23" s="10" t="s">
        <v>596</v>
      </c>
    </row>
    <row r="24" spans="1:11">
      <c r="A24" s="8" t="s">
        <v>651</v>
      </c>
      <c r="B24" s="9" t="s">
        <v>652</v>
      </c>
      <c r="C24" s="9" t="s">
        <v>653</v>
      </c>
      <c r="D24" s="9" t="s">
        <v>654</v>
      </c>
      <c r="E24" s="9">
        <v>489.48443453291901</v>
      </c>
      <c r="F24" s="9">
        <v>1.2650545685446699</v>
      </c>
      <c r="G24" s="9">
        <v>0.299232886157488</v>
      </c>
      <c r="H24" s="9">
        <v>4.2276588806447597</v>
      </c>
      <c r="I24" s="9">
        <v>2.3613542624626702E-5</v>
      </c>
      <c r="J24" s="9">
        <v>8.4738884390088004E-3</v>
      </c>
      <c r="K24" s="10" t="s">
        <v>588</v>
      </c>
    </row>
    <row r="25" spans="1:11">
      <c r="A25" s="8" t="s">
        <v>655</v>
      </c>
      <c r="B25" s="9" t="s">
        <v>656</v>
      </c>
      <c r="C25" s="9" t="s">
        <v>106</v>
      </c>
      <c r="D25" s="9" t="s">
        <v>657</v>
      </c>
      <c r="E25" s="9">
        <v>71.558165073314299</v>
      </c>
      <c r="F25" s="9">
        <v>0.79349364907304598</v>
      </c>
      <c r="G25" s="9">
        <v>0.21936976565626101</v>
      </c>
      <c r="H25" s="9">
        <v>3.6171513731587002</v>
      </c>
      <c r="I25" s="9">
        <v>2.9786312303300001E-4</v>
      </c>
      <c r="J25" s="9">
        <v>4.4013656768180497E-2</v>
      </c>
      <c r="K25" s="10" t="s">
        <v>588</v>
      </c>
    </row>
    <row r="26" spans="1:11">
      <c r="A26" s="8" t="s">
        <v>658</v>
      </c>
      <c r="B26" s="9" t="s">
        <v>659</v>
      </c>
      <c r="C26" s="9" t="s">
        <v>106</v>
      </c>
      <c r="D26" s="9" t="s">
        <v>660</v>
      </c>
      <c r="E26" s="9">
        <v>74.295085605706504</v>
      </c>
      <c r="F26" s="9">
        <v>-0.75835798314926695</v>
      </c>
      <c r="G26" s="9">
        <v>0.22991473449028399</v>
      </c>
      <c r="H26" s="9">
        <v>-3.2984314155877401</v>
      </c>
      <c r="I26" s="9">
        <v>9.7226628269330003E-4</v>
      </c>
      <c r="J26" s="9">
        <v>9.3935880850989598E-2</v>
      </c>
      <c r="K26" s="10" t="s">
        <v>596</v>
      </c>
    </row>
    <row r="27" spans="1:11">
      <c r="A27" s="8" t="s">
        <v>661</v>
      </c>
      <c r="B27" s="9" t="s">
        <v>662</v>
      </c>
      <c r="C27" s="9" t="s">
        <v>106</v>
      </c>
      <c r="D27" s="9" t="s">
        <v>663</v>
      </c>
      <c r="E27" s="9">
        <v>22.0883639046931</v>
      </c>
      <c r="F27" s="9">
        <v>-1.17101817375171</v>
      </c>
      <c r="G27" s="9">
        <v>0.34677835967063497</v>
      </c>
      <c r="H27" s="9">
        <v>-3.3768490480891802</v>
      </c>
      <c r="I27" s="9">
        <v>7.3321276788360003E-4</v>
      </c>
      <c r="J27" s="9">
        <v>7.6742936371826401E-2</v>
      </c>
      <c r="K27" s="10" t="s">
        <v>596</v>
      </c>
    </row>
    <row r="28" spans="1:11">
      <c r="A28" s="8" t="s">
        <v>664</v>
      </c>
      <c r="B28" s="9" t="s">
        <v>665</v>
      </c>
      <c r="C28" s="9" t="s">
        <v>106</v>
      </c>
      <c r="D28" s="9" t="s">
        <v>666</v>
      </c>
      <c r="E28" s="9">
        <v>9.3298052167022991</v>
      </c>
      <c r="F28" s="9">
        <v>2.2623989631454302</v>
      </c>
      <c r="G28" s="9">
        <v>0.66984543838808797</v>
      </c>
      <c r="H28" s="9">
        <v>3.37749402099334</v>
      </c>
      <c r="I28" s="9">
        <v>7.3149543343820002E-4</v>
      </c>
      <c r="J28" s="9">
        <v>7.6742936371826401E-2</v>
      </c>
      <c r="K28" s="10" t="s">
        <v>588</v>
      </c>
    </row>
    <row r="29" spans="1:11">
      <c r="A29" s="8" t="s">
        <v>667</v>
      </c>
      <c r="B29" s="9" t="s">
        <v>668</v>
      </c>
      <c r="C29" s="9" t="s">
        <v>106</v>
      </c>
      <c r="D29" s="9" t="s">
        <v>669</v>
      </c>
      <c r="E29" s="9">
        <v>14.4777567983389</v>
      </c>
      <c r="F29" s="9">
        <v>2.13484255033848</v>
      </c>
      <c r="G29" s="9">
        <v>0.64481314029686199</v>
      </c>
      <c r="H29" s="9">
        <v>3.3107925644251499</v>
      </c>
      <c r="I29" s="9">
        <v>9.3032144872619998E-4</v>
      </c>
      <c r="J29" s="9">
        <v>9.3478699168009202E-2</v>
      </c>
      <c r="K29" s="10" t="s">
        <v>588</v>
      </c>
    </row>
    <row r="30" spans="1:11" ht="27.6">
      <c r="A30" s="11" t="s">
        <v>670</v>
      </c>
      <c r="B30" s="12" t="s">
        <v>671</v>
      </c>
      <c r="C30" s="12" t="s">
        <v>672</v>
      </c>
      <c r="D30" s="12" t="s">
        <v>673</v>
      </c>
      <c r="E30" s="12">
        <v>25.243349077904099</v>
      </c>
      <c r="F30" s="12">
        <v>-1.4712875738907401</v>
      </c>
      <c r="G30" s="12">
        <v>0.34115698528608102</v>
      </c>
      <c r="H30" s="12">
        <v>-4.3126409170751003</v>
      </c>
      <c r="I30" s="12">
        <v>1.6131599984510501E-5</v>
      </c>
      <c r="J30" s="12">
        <v>8.1045158322180007E-3</v>
      </c>
      <c r="K30" s="13" t="s">
        <v>596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2" sqref="A2"/>
    </sheetView>
  </sheetViews>
  <sheetFormatPr defaultRowHeight="13.8"/>
  <cols>
    <col min="1" max="1" width="24" customWidth="1"/>
    <col min="2" max="3" width="16" customWidth="1"/>
    <col min="4" max="4" width="48" customWidth="1"/>
    <col min="5" max="11" width="16" customWidth="1"/>
  </cols>
  <sheetData>
    <row r="1" spans="1:11" ht="20.85" customHeight="1">
      <c r="A1" s="15" t="s">
        <v>674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0.45" customHeight="1">
      <c r="A2" s="21" t="s">
        <v>675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31.95" customHeight="1">
      <c r="A4" s="2" t="s">
        <v>573</v>
      </c>
      <c r="B4" s="3" t="s">
        <v>574</v>
      </c>
      <c r="C4" s="3" t="s">
        <v>575</v>
      </c>
      <c r="D4" s="3" t="s">
        <v>576</v>
      </c>
      <c r="E4" s="3" t="s">
        <v>577</v>
      </c>
      <c r="F4" s="3" t="s">
        <v>578</v>
      </c>
      <c r="G4" s="3" t="s">
        <v>579</v>
      </c>
      <c r="H4" s="3" t="s">
        <v>580</v>
      </c>
      <c r="I4" s="3" t="s">
        <v>581</v>
      </c>
      <c r="J4" s="3" t="s">
        <v>582</v>
      </c>
      <c r="K4" s="4" t="s">
        <v>583</v>
      </c>
    </row>
    <row r="5" spans="1:11">
      <c r="A5" s="16" t="s">
        <v>676</v>
      </c>
      <c r="B5" s="17" t="s">
        <v>677</v>
      </c>
      <c r="C5" s="17" t="s">
        <v>106</v>
      </c>
      <c r="D5" s="17" t="s">
        <v>678</v>
      </c>
      <c r="E5" s="17">
        <v>114.7026</v>
      </c>
      <c r="F5" s="17">
        <v>4.4703080000000002</v>
      </c>
      <c r="G5" s="17">
        <v>1.019136</v>
      </c>
      <c r="H5" s="17">
        <v>4.3863700000000003</v>
      </c>
      <c r="I5" s="17">
        <v>1.152579E-5</v>
      </c>
      <c r="J5" s="17">
        <v>2.5956079999999999E-2</v>
      </c>
      <c r="K5" s="18" t="s">
        <v>588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workbookViewId="0">
      <selection activeCell="A11" sqref="A11"/>
    </sheetView>
  </sheetViews>
  <sheetFormatPr defaultRowHeight="13.8"/>
  <cols>
    <col min="1" max="1" width="109" customWidth="1"/>
    <col min="4" max="4" width="48" customWidth="1"/>
    <col min="5" max="5" width="32" customWidth="1"/>
  </cols>
  <sheetData>
    <row r="1" spans="1:11" ht="20.85" customHeight="1">
      <c r="A1" s="22" t="s">
        <v>679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9.4" customHeight="1">
      <c r="A2" s="23" t="s">
        <v>910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4" spans="1:11" ht="27.6">
      <c r="A4" s="24" t="s">
        <v>573</v>
      </c>
      <c r="B4" s="24" t="s">
        <v>574</v>
      </c>
      <c r="C4" s="24" t="s">
        <v>575</v>
      </c>
      <c r="D4" s="24" t="s">
        <v>576</v>
      </c>
      <c r="E4" s="24" t="s">
        <v>577</v>
      </c>
      <c r="F4" s="24" t="s">
        <v>578</v>
      </c>
      <c r="G4" s="24" t="s">
        <v>579</v>
      </c>
      <c r="H4" s="24" t="s">
        <v>580</v>
      </c>
      <c r="I4" s="24" t="s">
        <v>581</v>
      </c>
      <c r="J4" s="24" t="s">
        <v>582</v>
      </c>
      <c r="K4" s="24" t="s">
        <v>583</v>
      </c>
    </row>
    <row r="5" spans="1:11" ht="27.6">
      <c r="A5" s="14" t="s">
        <v>911</v>
      </c>
      <c r="B5" s="14" t="s">
        <v>912</v>
      </c>
      <c r="C5" s="14" t="s">
        <v>913</v>
      </c>
      <c r="D5" s="14" t="s">
        <v>914</v>
      </c>
      <c r="E5" s="25">
        <v>1629.4495580136299</v>
      </c>
      <c r="F5" s="25">
        <v>-1.3393179871061001</v>
      </c>
      <c r="G5" s="25">
        <v>0.42470413522028699</v>
      </c>
      <c r="H5" s="25">
        <v>-3.1535317790381701</v>
      </c>
      <c r="I5" s="26">
        <v>1.6130766440917001E-3</v>
      </c>
      <c r="J5" s="26">
        <v>7.8224726737846098E-2</v>
      </c>
      <c r="K5" s="14" t="s">
        <v>596</v>
      </c>
    </row>
    <row r="6" spans="1:11" ht="27.6">
      <c r="A6" s="14" t="s">
        <v>915</v>
      </c>
      <c r="B6" s="14" t="s">
        <v>916</v>
      </c>
      <c r="C6" s="14" t="s">
        <v>106</v>
      </c>
      <c r="D6" s="14" t="s">
        <v>917</v>
      </c>
      <c r="E6" s="25">
        <v>224.48994519182901</v>
      </c>
      <c r="F6" s="25">
        <v>-2.1174234622438401</v>
      </c>
      <c r="G6" s="25">
        <v>0.59689900563062503</v>
      </c>
      <c r="H6" s="25">
        <v>-3.5473730769693299</v>
      </c>
      <c r="I6" s="26">
        <v>3.8909317912579999E-4</v>
      </c>
      <c r="J6" s="26">
        <v>3.3206045699784602E-2</v>
      </c>
      <c r="K6" s="14" t="s">
        <v>596</v>
      </c>
    </row>
    <row r="7" spans="1:11" ht="27.6">
      <c r="A7" s="14" t="s">
        <v>918</v>
      </c>
      <c r="B7" s="14" t="s">
        <v>919</v>
      </c>
      <c r="C7" s="14" t="s">
        <v>106</v>
      </c>
      <c r="D7" s="14" t="s">
        <v>920</v>
      </c>
      <c r="E7" s="25">
        <v>376.978703221427</v>
      </c>
      <c r="F7" s="25">
        <v>-1.6363413562564599</v>
      </c>
      <c r="G7" s="25">
        <v>0.54827550101466704</v>
      </c>
      <c r="H7" s="25">
        <v>-2.98452393591938</v>
      </c>
      <c r="I7" s="26">
        <v>2.8401997896595E-3</v>
      </c>
      <c r="J7" s="26">
        <v>9.5729298038654403E-2</v>
      </c>
      <c r="K7" s="14" t="s">
        <v>596</v>
      </c>
    </row>
    <row r="8" spans="1:11" ht="27.6">
      <c r="A8" s="14" t="s">
        <v>921</v>
      </c>
      <c r="B8" s="14" t="s">
        <v>922</v>
      </c>
      <c r="C8" s="14" t="s">
        <v>923</v>
      </c>
      <c r="D8" s="14" t="s">
        <v>924</v>
      </c>
      <c r="E8" s="25">
        <v>4937.7144970059298</v>
      </c>
      <c r="F8" s="25">
        <v>-1.3966849074687699</v>
      </c>
      <c r="G8" s="25">
        <v>0.276518511312148</v>
      </c>
      <c r="H8" s="25">
        <v>-5.0509634991203898</v>
      </c>
      <c r="I8" s="26">
        <v>4.3958707373582001E-7</v>
      </c>
      <c r="J8" s="26">
        <v>2.8891860421280001E-4</v>
      </c>
      <c r="K8" s="14" t="s">
        <v>596</v>
      </c>
    </row>
    <row r="9" spans="1:11" ht="27.6">
      <c r="A9" s="14" t="s">
        <v>925</v>
      </c>
      <c r="B9" s="14" t="s">
        <v>926</v>
      </c>
      <c r="C9" s="14" t="s">
        <v>106</v>
      </c>
      <c r="D9" s="14" t="s">
        <v>927</v>
      </c>
      <c r="E9" s="25">
        <v>595.00401022830499</v>
      </c>
      <c r="F9" s="25">
        <v>-1.4022298189926601</v>
      </c>
      <c r="G9" s="25">
        <v>0.45567775901480501</v>
      </c>
      <c r="H9" s="25">
        <v>-3.0772399820968701</v>
      </c>
      <c r="I9" s="26">
        <v>2.0892702422249001E-3</v>
      </c>
      <c r="J9" s="26">
        <v>8.3423970445176798E-2</v>
      </c>
      <c r="K9" s="14" t="s">
        <v>596</v>
      </c>
    </row>
    <row r="10" spans="1:11" ht="27.6">
      <c r="A10" s="14" t="s">
        <v>928</v>
      </c>
      <c r="B10" s="14" t="s">
        <v>929</v>
      </c>
      <c r="C10" s="14" t="s">
        <v>106</v>
      </c>
      <c r="D10" s="14" t="s">
        <v>930</v>
      </c>
      <c r="E10" s="25">
        <v>617.23416858879398</v>
      </c>
      <c r="F10" s="25">
        <v>-1.40190985457682</v>
      </c>
      <c r="G10" s="25">
        <v>0.428879826627521</v>
      </c>
      <c r="H10" s="25">
        <v>-3.2687708013703598</v>
      </c>
      <c r="I10" s="26">
        <v>1.0801575982457999E-3</v>
      </c>
      <c r="J10" s="26">
        <v>5.91611317872585E-2</v>
      </c>
      <c r="K10" s="14" t="s">
        <v>596</v>
      </c>
    </row>
    <row r="11" spans="1:11" ht="27.6">
      <c r="A11" s="14" t="s">
        <v>931</v>
      </c>
      <c r="B11" s="14" t="s">
        <v>932</v>
      </c>
      <c r="C11" s="14" t="s">
        <v>106</v>
      </c>
      <c r="D11" s="14" t="s">
        <v>927</v>
      </c>
      <c r="E11" s="25">
        <v>140.43002225078101</v>
      </c>
      <c r="F11" s="25">
        <v>-2.79513459084006</v>
      </c>
      <c r="G11" s="25">
        <v>0.94322569477941198</v>
      </c>
      <c r="H11" s="25">
        <v>-2.9633783370307198</v>
      </c>
      <c r="I11" s="26">
        <v>3.0428232086185001E-3</v>
      </c>
      <c r="J11" s="26">
        <v>9.99947776932259E-2</v>
      </c>
      <c r="K11" s="14" t="s">
        <v>596</v>
      </c>
    </row>
    <row r="12" spans="1:11" ht="27.6">
      <c r="A12" s="14" t="s">
        <v>933</v>
      </c>
      <c r="B12" s="14" t="s">
        <v>934</v>
      </c>
      <c r="C12" s="14" t="s">
        <v>106</v>
      </c>
      <c r="D12" s="14" t="s">
        <v>930</v>
      </c>
      <c r="E12" s="25">
        <v>310.61296150739798</v>
      </c>
      <c r="F12" s="25">
        <v>-3.0775457638616301</v>
      </c>
      <c r="G12" s="25">
        <v>0.84518831830664498</v>
      </c>
      <c r="H12" s="25">
        <v>-3.6412544958353998</v>
      </c>
      <c r="I12" s="26">
        <v>2.7131277234199999E-4</v>
      </c>
      <c r="J12" s="26">
        <v>2.9720053270298599E-2</v>
      </c>
      <c r="K12" s="14" t="s">
        <v>596</v>
      </c>
    </row>
    <row r="13" spans="1:11" ht="27.6">
      <c r="A13" s="14" t="s">
        <v>935</v>
      </c>
      <c r="B13" s="14" t="s">
        <v>936</v>
      </c>
      <c r="C13" s="14" t="s">
        <v>106</v>
      </c>
      <c r="D13" s="14" t="s">
        <v>937</v>
      </c>
      <c r="E13" s="25">
        <v>894.18044059454701</v>
      </c>
      <c r="F13" s="25">
        <v>-1.46266667475845</v>
      </c>
      <c r="G13" s="25">
        <v>0.451625893413996</v>
      </c>
      <c r="H13" s="25">
        <v>-3.2386687656494901</v>
      </c>
      <c r="I13" s="26">
        <v>1.2008895025015E-3</v>
      </c>
      <c r="J13" s="26">
        <v>6.3142770041528795E-2</v>
      </c>
      <c r="K13" s="14" t="s">
        <v>596</v>
      </c>
    </row>
    <row r="14" spans="1:11" ht="27.6">
      <c r="A14" s="14" t="s">
        <v>938</v>
      </c>
      <c r="B14" s="14" t="s">
        <v>939</v>
      </c>
      <c r="C14" s="14" t="s">
        <v>106</v>
      </c>
      <c r="D14" s="14" t="s">
        <v>937</v>
      </c>
      <c r="E14" s="25">
        <v>600.26077110962603</v>
      </c>
      <c r="F14" s="25">
        <v>-1.73962349875925</v>
      </c>
      <c r="G14" s="25">
        <v>0.49331132289566298</v>
      </c>
      <c r="H14" s="25">
        <v>-3.5264211827693801</v>
      </c>
      <c r="I14" s="26">
        <v>4.2121651815140001E-4</v>
      </c>
      <c r="J14" s="26">
        <v>3.3556915946065601E-2</v>
      </c>
      <c r="K14" s="14" t="s">
        <v>596</v>
      </c>
    </row>
    <row r="15" spans="1:11" ht="27.6">
      <c r="A15" s="14" t="s">
        <v>940</v>
      </c>
      <c r="B15" s="14" t="s">
        <v>941</v>
      </c>
      <c r="C15" s="14" t="s">
        <v>106</v>
      </c>
      <c r="D15" s="14" t="s">
        <v>942</v>
      </c>
      <c r="E15" s="25">
        <v>835.20118086237699</v>
      </c>
      <c r="F15" s="25">
        <v>-1.58257426279241</v>
      </c>
      <c r="G15" s="25">
        <v>0.45276069784388501</v>
      </c>
      <c r="H15" s="25">
        <v>-3.4953878954795901</v>
      </c>
      <c r="I15" s="26">
        <v>4.7337325927289999E-4</v>
      </c>
      <c r="J15" s="26">
        <v>3.55570942465296E-2</v>
      </c>
      <c r="K15" s="14" t="s">
        <v>596</v>
      </c>
    </row>
    <row r="16" spans="1:11" ht="27.6">
      <c r="A16" s="14" t="s">
        <v>943</v>
      </c>
      <c r="B16" s="14" t="s">
        <v>944</v>
      </c>
      <c r="C16" s="14" t="s">
        <v>106</v>
      </c>
      <c r="D16" s="14" t="s">
        <v>945</v>
      </c>
      <c r="E16" s="25">
        <v>1232.93854772537</v>
      </c>
      <c r="F16" s="25">
        <v>-1.5788001276105199</v>
      </c>
      <c r="G16" s="25">
        <v>0.50949755798499496</v>
      </c>
      <c r="H16" s="25">
        <v>-3.0987393420578799</v>
      </c>
      <c r="I16" s="26">
        <v>1.9434592226538999E-3</v>
      </c>
      <c r="J16" s="26">
        <v>8.3423970445176798E-2</v>
      </c>
      <c r="K16" s="14" t="s">
        <v>596</v>
      </c>
    </row>
    <row r="17" spans="1:11" ht="27.6">
      <c r="A17" s="14" t="s">
        <v>946</v>
      </c>
      <c r="B17" s="14" t="s">
        <v>947</v>
      </c>
      <c r="C17" s="14" t="s">
        <v>948</v>
      </c>
      <c r="D17" s="14" t="s">
        <v>949</v>
      </c>
      <c r="E17" s="25">
        <v>433.88953671391403</v>
      </c>
      <c r="F17" s="25">
        <v>-1.1429947179028801</v>
      </c>
      <c r="G17" s="25">
        <v>0.36414216080558298</v>
      </c>
      <c r="H17" s="25">
        <v>-3.1388694881533699</v>
      </c>
      <c r="I17" s="26">
        <v>1.6960096706189001E-3</v>
      </c>
      <c r="J17" s="26">
        <v>7.8224726737846098E-2</v>
      </c>
      <c r="K17" s="14" t="s">
        <v>596</v>
      </c>
    </row>
    <row r="18" spans="1:11" ht="27.6">
      <c r="A18" s="14" t="s">
        <v>950</v>
      </c>
      <c r="B18" s="14" t="s">
        <v>951</v>
      </c>
      <c r="C18" s="14" t="s">
        <v>106</v>
      </c>
      <c r="D18" s="14" t="s">
        <v>952</v>
      </c>
      <c r="E18" s="25">
        <v>1452.14772364194</v>
      </c>
      <c r="F18" s="25">
        <v>-1.08487054862902</v>
      </c>
      <c r="G18" s="25">
        <v>0.30009476770592602</v>
      </c>
      <c r="H18" s="25">
        <v>-3.6150931818049199</v>
      </c>
      <c r="I18" s="26">
        <v>3.002396104174E-4</v>
      </c>
      <c r="J18" s="26">
        <v>3.0217324216668701E-2</v>
      </c>
      <c r="K18" s="14" t="s">
        <v>596</v>
      </c>
    </row>
    <row r="19" spans="1:11" ht="27.6">
      <c r="A19" s="14" t="s">
        <v>953</v>
      </c>
      <c r="B19" s="14" t="s">
        <v>954</v>
      </c>
      <c r="C19" s="14" t="s">
        <v>106</v>
      </c>
      <c r="D19" s="14" t="s">
        <v>646</v>
      </c>
      <c r="E19" s="25">
        <v>80.372185263354197</v>
      </c>
      <c r="F19" s="25">
        <v>-2.8614026958690499</v>
      </c>
      <c r="G19" s="25">
        <v>0.92861046486661503</v>
      </c>
      <c r="H19" s="25">
        <v>-3.0813810571045601</v>
      </c>
      <c r="I19" s="26">
        <v>2.0604277776161998E-3</v>
      </c>
      <c r="J19" s="26">
        <v>8.3423970445176798E-2</v>
      </c>
      <c r="K19" s="14" t="s">
        <v>596</v>
      </c>
    </row>
    <row r="20" spans="1:11" ht="27.6">
      <c r="A20" s="14" t="s">
        <v>955</v>
      </c>
      <c r="B20" s="14" t="s">
        <v>956</v>
      </c>
      <c r="C20" s="14" t="s">
        <v>106</v>
      </c>
      <c r="D20" s="14" t="s">
        <v>957</v>
      </c>
      <c r="E20" s="25">
        <v>389.420586953162</v>
      </c>
      <c r="F20" s="25">
        <v>-2.0924814829676301</v>
      </c>
      <c r="G20" s="25">
        <v>0.67639622914900399</v>
      </c>
      <c r="H20" s="25">
        <v>-3.0935735487470799</v>
      </c>
      <c r="I20" s="26">
        <v>1.9776152747186001E-3</v>
      </c>
      <c r="J20" s="26">
        <v>8.3423970445176798E-2</v>
      </c>
      <c r="K20" s="14" t="s">
        <v>596</v>
      </c>
    </row>
    <row r="21" spans="1:11" ht="27.6">
      <c r="A21" s="14" t="s">
        <v>958</v>
      </c>
      <c r="B21" s="14" t="s">
        <v>959</v>
      </c>
      <c r="C21" s="14" t="s">
        <v>106</v>
      </c>
      <c r="D21" s="14" t="s">
        <v>960</v>
      </c>
      <c r="E21" s="25">
        <v>262.178024329501</v>
      </c>
      <c r="F21" s="25">
        <v>-2.6216544455317701</v>
      </c>
      <c r="G21" s="25">
        <v>0.68417174640716905</v>
      </c>
      <c r="H21" s="25">
        <v>-3.8318659887652702</v>
      </c>
      <c r="I21" s="26">
        <v>1.2717501077000001E-4</v>
      </c>
      <c r="J21" s="26">
        <v>1.9667241371432401E-2</v>
      </c>
      <c r="K21" s="14" t="s">
        <v>596</v>
      </c>
    </row>
    <row r="22" spans="1:11" ht="27.6">
      <c r="A22" s="14" t="s">
        <v>961</v>
      </c>
      <c r="B22" s="14" t="s">
        <v>962</v>
      </c>
      <c r="C22" s="14" t="s">
        <v>106</v>
      </c>
      <c r="D22" s="14" t="s">
        <v>963</v>
      </c>
      <c r="E22" s="25">
        <v>130.95364599264099</v>
      </c>
      <c r="F22" s="25">
        <v>-2.1420734034976401</v>
      </c>
      <c r="G22" s="25">
        <v>0.70286400575576302</v>
      </c>
      <c r="H22" s="25">
        <v>-3.04763565349224</v>
      </c>
      <c r="I22" s="26">
        <v>2.3064939531154001E-3</v>
      </c>
      <c r="J22" s="26">
        <v>8.7880762358557296E-2</v>
      </c>
      <c r="K22" s="14" t="s">
        <v>596</v>
      </c>
    </row>
    <row r="23" spans="1:11" ht="27.6">
      <c r="A23" s="14" t="s">
        <v>964</v>
      </c>
      <c r="B23" s="14" t="s">
        <v>965</v>
      </c>
      <c r="C23" s="14" t="s">
        <v>966</v>
      </c>
      <c r="D23" s="14" t="s">
        <v>967</v>
      </c>
      <c r="E23" s="25">
        <v>8434.5343153611993</v>
      </c>
      <c r="F23" s="25">
        <v>1.6266021361505001</v>
      </c>
      <c r="G23" s="25">
        <v>0.436343189807405</v>
      </c>
      <c r="H23" s="25">
        <v>3.7278045679330001</v>
      </c>
      <c r="I23" s="26">
        <v>1.9315506553070001E-4</v>
      </c>
      <c r="J23" s="26">
        <v>2.2078463794792301E-2</v>
      </c>
      <c r="K23" s="14" t="s">
        <v>588</v>
      </c>
    </row>
    <row r="24" spans="1:11" ht="27.6">
      <c r="A24" s="14" t="s">
        <v>865</v>
      </c>
      <c r="B24" s="14" t="s">
        <v>968</v>
      </c>
      <c r="C24" s="14" t="s">
        <v>969</v>
      </c>
      <c r="D24" s="14" t="s">
        <v>970</v>
      </c>
      <c r="E24" s="25">
        <v>3025.4741847524801</v>
      </c>
      <c r="F24" s="25">
        <v>0.92488596289201497</v>
      </c>
      <c r="G24" s="25">
        <v>0.29806763581043</v>
      </c>
      <c r="H24" s="25">
        <v>3.1029399095185202</v>
      </c>
      <c r="I24" s="26">
        <v>1.9160854132904E-3</v>
      </c>
      <c r="J24" s="26">
        <v>8.3423970445176798E-2</v>
      </c>
      <c r="K24" s="14" t="s">
        <v>588</v>
      </c>
    </row>
    <row r="25" spans="1:11" ht="27.6">
      <c r="A25" s="14" t="s">
        <v>971</v>
      </c>
      <c r="B25" s="14" t="s">
        <v>972</v>
      </c>
      <c r="C25" s="14" t="s">
        <v>973</v>
      </c>
      <c r="D25" s="14" t="s">
        <v>974</v>
      </c>
      <c r="E25" s="25">
        <v>16046.4420890894</v>
      </c>
      <c r="F25" s="25">
        <v>1.22964237956189</v>
      </c>
      <c r="G25" s="25">
        <v>0.38671559420700602</v>
      </c>
      <c r="H25" s="25">
        <v>3.1797072525181802</v>
      </c>
      <c r="I25" s="26">
        <v>1.4742390463834E-3</v>
      </c>
      <c r="J25" s="26">
        <v>7.3127819866833296E-2</v>
      </c>
      <c r="K25" s="14" t="s">
        <v>588</v>
      </c>
    </row>
    <row r="26" spans="1:11" ht="27.6">
      <c r="A26" s="14" t="s">
        <v>975</v>
      </c>
      <c r="B26" s="14" t="s">
        <v>976</v>
      </c>
      <c r="C26" s="14" t="s">
        <v>106</v>
      </c>
      <c r="D26" s="14" t="s">
        <v>977</v>
      </c>
      <c r="E26" s="25">
        <v>9236.8118271471794</v>
      </c>
      <c r="F26" s="25">
        <v>1.3851417778437001</v>
      </c>
      <c r="G26" s="25">
        <v>0.33585920447180401</v>
      </c>
      <c r="H26" s="25">
        <v>4.1241739377727598</v>
      </c>
      <c r="I26" s="26">
        <v>3.72067654858527E-5</v>
      </c>
      <c r="J26" s="26">
        <v>6.9868990330218999E-3</v>
      </c>
      <c r="K26" s="14" t="s">
        <v>588</v>
      </c>
    </row>
    <row r="27" spans="1:11" ht="27.6">
      <c r="A27" s="14" t="s">
        <v>978</v>
      </c>
      <c r="B27" s="14" t="s">
        <v>979</v>
      </c>
      <c r="C27" s="14" t="s">
        <v>106</v>
      </c>
      <c r="D27" s="14" t="s">
        <v>646</v>
      </c>
      <c r="E27" s="25">
        <v>8896.4645441360608</v>
      </c>
      <c r="F27" s="25">
        <v>1.0891444609335701</v>
      </c>
      <c r="G27" s="25">
        <v>0.35374909983637198</v>
      </c>
      <c r="H27" s="25">
        <v>3.07886143438204</v>
      </c>
      <c r="I27" s="26">
        <v>2.0779330463155999E-3</v>
      </c>
      <c r="J27" s="26">
        <v>8.3423970445176798E-2</v>
      </c>
      <c r="K27" s="14" t="s">
        <v>588</v>
      </c>
    </row>
    <row r="28" spans="1:11" ht="27.6">
      <c r="A28" s="14" t="s">
        <v>980</v>
      </c>
      <c r="B28" s="14" t="s">
        <v>981</v>
      </c>
      <c r="C28" s="14" t="s">
        <v>106</v>
      </c>
      <c r="D28" s="14" t="s">
        <v>982</v>
      </c>
      <c r="E28" s="25">
        <v>738.77508743262604</v>
      </c>
      <c r="F28" s="25">
        <v>-1.3693510415918499</v>
      </c>
      <c r="G28" s="25">
        <v>0.31961216832067801</v>
      </c>
      <c r="H28" s="25">
        <v>-4.2844146040708102</v>
      </c>
      <c r="I28" s="26">
        <v>1.8322096422426401E-5</v>
      </c>
      <c r="J28" s="26">
        <v>4.0140659578799002E-3</v>
      </c>
      <c r="K28" s="14" t="s">
        <v>596</v>
      </c>
    </row>
    <row r="29" spans="1:11" ht="27.6">
      <c r="A29" s="14" t="s">
        <v>983</v>
      </c>
      <c r="B29" s="14" t="s">
        <v>984</v>
      </c>
      <c r="C29" s="14" t="s">
        <v>985</v>
      </c>
      <c r="D29" s="14" t="s">
        <v>986</v>
      </c>
      <c r="E29" s="25">
        <v>878.74672686632198</v>
      </c>
      <c r="F29" s="25">
        <v>-1.54474125912639</v>
      </c>
      <c r="G29" s="25">
        <v>0.30266497423642102</v>
      </c>
      <c r="H29" s="25">
        <v>-5.1037992189996402</v>
      </c>
      <c r="I29" s="26">
        <v>3.3290147327570898E-7</v>
      </c>
      <c r="J29" s="26">
        <v>2.8891860421280001E-4</v>
      </c>
      <c r="K29" s="14" t="s">
        <v>596</v>
      </c>
    </row>
    <row r="30" spans="1:11" ht="27.6">
      <c r="A30" s="14" t="s">
        <v>987</v>
      </c>
      <c r="B30" s="14" t="s">
        <v>988</v>
      </c>
      <c r="C30" s="14" t="s">
        <v>106</v>
      </c>
      <c r="D30" s="14" t="s">
        <v>989</v>
      </c>
      <c r="E30" s="25">
        <v>1562.3697812021501</v>
      </c>
      <c r="F30" s="25">
        <v>-1.36853407512706</v>
      </c>
      <c r="G30" s="25">
        <v>0.305029250226036</v>
      </c>
      <c r="H30" s="25">
        <v>-4.4865666952035896</v>
      </c>
      <c r="I30" s="26">
        <v>7.2380066649163402E-6</v>
      </c>
      <c r="J30" s="26">
        <v>2.1143021691182999E-3</v>
      </c>
      <c r="K30" s="14" t="s">
        <v>596</v>
      </c>
    </row>
    <row r="31" spans="1:11" ht="27.6">
      <c r="A31" s="14" t="s">
        <v>990</v>
      </c>
      <c r="B31" s="14" t="s">
        <v>991</v>
      </c>
      <c r="C31" s="14" t="s">
        <v>106</v>
      </c>
      <c r="D31" s="14" t="s">
        <v>992</v>
      </c>
      <c r="E31" s="25">
        <v>367.40689956107502</v>
      </c>
      <c r="F31" s="25">
        <v>-1.51801166803467</v>
      </c>
      <c r="G31" s="25">
        <v>0.495438616325933</v>
      </c>
      <c r="H31" s="25">
        <v>-3.06397526961447</v>
      </c>
      <c r="I31" s="26">
        <v>2.1841696471246001E-3</v>
      </c>
      <c r="J31" s="26">
        <v>8.5232494445689894E-2</v>
      </c>
      <c r="K31" s="14" t="s">
        <v>596</v>
      </c>
    </row>
    <row r="32" spans="1:11" ht="27.6">
      <c r="A32" s="14" t="s">
        <v>993</v>
      </c>
      <c r="B32" s="14" t="s">
        <v>994</v>
      </c>
      <c r="C32" s="14" t="s">
        <v>106</v>
      </c>
      <c r="D32" s="14" t="s">
        <v>995</v>
      </c>
      <c r="E32" s="25">
        <v>317.93042647769499</v>
      </c>
      <c r="F32" s="25">
        <v>-1.7008915106123701</v>
      </c>
      <c r="G32" s="25">
        <v>0.56180852266560199</v>
      </c>
      <c r="H32" s="25">
        <v>-3.0275288501181499</v>
      </c>
      <c r="I32" s="26">
        <v>2.4656217715573999E-3</v>
      </c>
      <c r="J32" s="26">
        <v>9.0805858465277001E-2</v>
      </c>
      <c r="K32" s="14" t="s">
        <v>596</v>
      </c>
    </row>
    <row r="33" spans="1:11" ht="27.6">
      <c r="A33" s="14" t="s">
        <v>996</v>
      </c>
      <c r="B33" s="14" t="s">
        <v>997</v>
      </c>
      <c r="C33" s="14" t="s">
        <v>106</v>
      </c>
      <c r="D33" s="14" t="s">
        <v>998</v>
      </c>
      <c r="E33" s="25">
        <v>3428.8810944086899</v>
      </c>
      <c r="F33" s="25">
        <v>0.98316521027864701</v>
      </c>
      <c r="G33" s="25">
        <v>0.31957060283355498</v>
      </c>
      <c r="H33" s="25">
        <v>3.0765195595626098</v>
      </c>
      <c r="I33" s="26">
        <v>2.0943256178705002E-3</v>
      </c>
      <c r="J33" s="26">
        <v>8.3423970445176798E-2</v>
      </c>
      <c r="K33" s="14" t="s">
        <v>588</v>
      </c>
    </row>
    <row r="34" spans="1:11" ht="27.6">
      <c r="A34" s="14" t="s">
        <v>999</v>
      </c>
      <c r="B34" s="14" t="s">
        <v>1000</v>
      </c>
      <c r="C34" s="14" t="s">
        <v>106</v>
      </c>
      <c r="D34" s="14" t="s">
        <v>1001</v>
      </c>
      <c r="E34" s="25">
        <v>321.99955506172103</v>
      </c>
      <c r="F34" s="25">
        <v>-1.6833262107998299</v>
      </c>
      <c r="G34" s="25">
        <v>0.54989218782264904</v>
      </c>
      <c r="H34" s="25">
        <v>-3.06119317218366</v>
      </c>
      <c r="I34" s="26">
        <v>2.2045681332471998E-3</v>
      </c>
      <c r="J34" s="26">
        <v>8.5232494445689894E-2</v>
      </c>
      <c r="K34" s="14" t="s">
        <v>596</v>
      </c>
    </row>
    <row r="35" spans="1:11" ht="27.6">
      <c r="A35" s="14" t="s">
        <v>1002</v>
      </c>
      <c r="B35" s="14" t="s">
        <v>1003</v>
      </c>
      <c r="C35" s="14" t="s">
        <v>106</v>
      </c>
      <c r="D35" s="14" t="s">
        <v>1004</v>
      </c>
      <c r="E35" s="25">
        <v>276.66068769495598</v>
      </c>
      <c r="F35" s="25">
        <v>-2.3020192011146898</v>
      </c>
      <c r="G35" s="25">
        <v>0.64160201823618401</v>
      </c>
      <c r="H35" s="25">
        <v>-3.5879238775512601</v>
      </c>
      <c r="I35" s="26">
        <v>3.3332156800429998E-4</v>
      </c>
      <c r="J35" s="26">
        <v>3.0217324216668701E-2</v>
      </c>
      <c r="K35" s="14" t="s">
        <v>596</v>
      </c>
    </row>
    <row r="36" spans="1:11" ht="27.6">
      <c r="A36" s="14" t="s">
        <v>637</v>
      </c>
      <c r="B36" s="14" t="s">
        <v>638</v>
      </c>
      <c r="C36" s="14" t="s">
        <v>639</v>
      </c>
      <c r="D36" s="14" t="s">
        <v>640</v>
      </c>
      <c r="E36" s="25">
        <v>2441.0309135736302</v>
      </c>
      <c r="F36" s="25">
        <v>-1.3360995159775899</v>
      </c>
      <c r="G36" s="25">
        <v>0.40120367580845001</v>
      </c>
      <c r="H36" s="25">
        <v>-3.3302275042352498</v>
      </c>
      <c r="I36" s="26">
        <v>8.6775052272300001E-4</v>
      </c>
      <c r="J36" s="26">
        <v>5.4148336799291798E-2</v>
      </c>
      <c r="K36" s="14" t="s">
        <v>596</v>
      </c>
    </row>
    <row r="37" spans="1:11" ht="27.6">
      <c r="A37" s="14" t="s">
        <v>866</v>
      </c>
      <c r="B37" s="14" t="s">
        <v>1005</v>
      </c>
      <c r="C37" s="14" t="s">
        <v>1006</v>
      </c>
      <c r="D37" s="14" t="s">
        <v>1007</v>
      </c>
      <c r="E37" s="25">
        <v>7938.1427198369101</v>
      </c>
      <c r="F37" s="25">
        <v>1.1728999108947999</v>
      </c>
      <c r="G37" s="25">
        <v>0.36102805905188201</v>
      </c>
      <c r="H37" s="25">
        <v>3.24877770989607</v>
      </c>
      <c r="I37" s="26">
        <v>1.1590201193202E-3</v>
      </c>
      <c r="J37" s="26">
        <v>6.2184977422304298E-2</v>
      </c>
      <c r="K37" s="14" t="s">
        <v>588</v>
      </c>
    </row>
    <row r="38" spans="1:11" ht="27.6">
      <c r="A38" s="14" t="s">
        <v>1008</v>
      </c>
      <c r="B38" s="14" t="s">
        <v>1009</v>
      </c>
      <c r="C38" s="14" t="s">
        <v>106</v>
      </c>
      <c r="D38" s="14" t="s">
        <v>1010</v>
      </c>
      <c r="E38" s="25">
        <v>556.60009003008099</v>
      </c>
      <c r="F38" s="25">
        <v>-1.41104892047126</v>
      </c>
      <c r="G38" s="25">
        <v>0.46850775920716498</v>
      </c>
      <c r="H38" s="25">
        <v>-3.01179413305581</v>
      </c>
      <c r="I38" s="26">
        <v>2.5970866141197002E-3</v>
      </c>
      <c r="J38" s="26">
        <v>9.0805858465277001E-2</v>
      </c>
      <c r="K38" s="14" t="s">
        <v>596</v>
      </c>
    </row>
    <row r="39" spans="1:11" ht="27.6">
      <c r="A39" s="14" t="s">
        <v>1011</v>
      </c>
      <c r="B39" s="14" t="s">
        <v>1012</v>
      </c>
      <c r="C39" s="14" t="s">
        <v>1013</v>
      </c>
      <c r="D39" s="14" t="s">
        <v>1014</v>
      </c>
      <c r="E39" s="25">
        <v>13477.378943519099</v>
      </c>
      <c r="F39" s="25">
        <v>-1.22806158515007</v>
      </c>
      <c r="G39" s="25">
        <v>0.38436112684671098</v>
      </c>
      <c r="H39" s="25">
        <v>-3.1950722884623</v>
      </c>
      <c r="I39" s="26">
        <v>1.3979582070378E-3</v>
      </c>
      <c r="J39" s="26">
        <v>7.0702088250275505E-2</v>
      </c>
      <c r="K39" s="14" t="s">
        <v>596</v>
      </c>
    </row>
    <row r="40" spans="1:11" ht="27.6">
      <c r="A40" s="14" t="s">
        <v>1015</v>
      </c>
      <c r="B40" s="14" t="s">
        <v>1016</v>
      </c>
      <c r="C40" s="14" t="s">
        <v>732</v>
      </c>
      <c r="D40" s="14" t="s">
        <v>1017</v>
      </c>
      <c r="E40" s="25">
        <v>905.530521890606</v>
      </c>
      <c r="F40" s="25">
        <v>-2.1045826607880098</v>
      </c>
      <c r="G40" s="25">
        <v>0.337539393497441</v>
      </c>
      <c r="H40" s="25">
        <v>-6.2350727095323899</v>
      </c>
      <c r="I40" s="26">
        <v>4.5156830171998301E-10</v>
      </c>
      <c r="J40" s="26">
        <v>1.1871730652218299E-6</v>
      </c>
      <c r="K40" s="14" t="s">
        <v>596</v>
      </c>
    </row>
    <row r="41" spans="1:11" ht="27.6">
      <c r="A41" s="14" t="s">
        <v>1018</v>
      </c>
      <c r="B41" s="14" t="s">
        <v>1019</v>
      </c>
      <c r="C41" s="14" t="s">
        <v>106</v>
      </c>
      <c r="D41" s="14" t="s">
        <v>1020</v>
      </c>
      <c r="E41" s="25">
        <v>1231.2288534187701</v>
      </c>
      <c r="F41" s="25">
        <v>-1.6414573774254799</v>
      </c>
      <c r="G41" s="25">
        <v>0.3048783883617</v>
      </c>
      <c r="H41" s="25">
        <v>-5.38397420114309</v>
      </c>
      <c r="I41" s="26">
        <v>7.2858951036419901E-8</v>
      </c>
      <c r="J41" s="26">
        <v>9.5773091137373994E-5</v>
      </c>
      <c r="K41" s="14" t="s">
        <v>596</v>
      </c>
    </row>
    <row r="42" spans="1:11" ht="27.6">
      <c r="A42" s="14" t="s">
        <v>1021</v>
      </c>
      <c r="B42" s="14" t="s">
        <v>1022</v>
      </c>
      <c r="C42" s="14" t="s">
        <v>1023</v>
      </c>
      <c r="D42" s="14" t="s">
        <v>1024</v>
      </c>
      <c r="E42" s="25">
        <v>1760.7376718455901</v>
      </c>
      <c r="F42" s="25">
        <v>-1.71811846980088</v>
      </c>
      <c r="G42" s="25">
        <v>0.38129786267390398</v>
      </c>
      <c r="H42" s="25">
        <v>-4.5059745621240497</v>
      </c>
      <c r="I42" s="26">
        <v>6.6069002558983301E-6</v>
      </c>
      <c r="J42" s="26">
        <v>2.1143021691182999E-3</v>
      </c>
      <c r="K42" s="14" t="s">
        <v>596</v>
      </c>
    </row>
    <row r="43" spans="1:11" ht="27.6">
      <c r="A43" s="14" t="s">
        <v>867</v>
      </c>
      <c r="B43" s="14" t="s">
        <v>1025</v>
      </c>
      <c r="C43" s="14" t="s">
        <v>1026</v>
      </c>
      <c r="D43" s="14" t="s">
        <v>1027</v>
      </c>
      <c r="E43" s="25">
        <v>7543.6268161345897</v>
      </c>
      <c r="F43" s="25">
        <v>1.29246322349772</v>
      </c>
      <c r="G43" s="25">
        <v>0.34000048651640702</v>
      </c>
      <c r="H43" s="25">
        <v>3.8013569825740401</v>
      </c>
      <c r="I43" s="26">
        <v>1.439057936519E-4</v>
      </c>
      <c r="J43" s="26">
        <v>2.1018240639494298E-2</v>
      </c>
      <c r="K43" s="14" t="s">
        <v>588</v>
      </c>
    </row>
    <row r="44" spans="1:11" ht="27.6">
      <c r="A44" s="14" t="s">
        <v>1028</v>
      </c>
      <c r="B44" s="14" t="s">
        <v>1029</v>
      </c>
      <c r="C44" s="14" t="s">
        <v>106</v>
      </c>
      <c r="D44" s="14" t="s">
        <v>1030</v>
      </c>
      <c r="E44" s="25">
        <v>27159.533067475</v>
      </c>
      <c r="F44" s="25">
        <v>1.3179311473206301</v>
      </c>
      <c r="G44" s="25">
        <v>0.39517228333669902</v>
      </c>
      <c r="H44" s="25">
        <v>3.3350799205664599</v>
      </c>
      <c r="I44" s="26">
        <v>8.5274887187179998E-4</v>
      </c>
      <c r="J44" s="26">
        <v>5.4148336799291798E-2</v>
      </c>
      <c r="K44" s="14" t="s">
        <v>588</v>
      </c>
    </row>
    <row r="45" spans="1:11" ht="27.6">
      <c r="A45" s="14" t="s">
        <v>1031</v>
      </c>
      <c r="B45" s="14" t="s">
        <v>1032</v>
      </c>
      <c r="C45" s="14" t="s">
        <v>1033</v>
      </c>
      <c r="D45" s="14" t="s">
        <v>1034</v>
      </c>
      <c r="E45" s="25">
        <v>3609.3283257524399</v>
      </c>
      <c r="F45" s="25">
        <v>-1.1463075763966699</v>
      </c>
      <c r="G45" s="25">
        <v>0.38324250026868401</v>
      </c>
      <c r="H45" s="25">
        <v>-2.99107634355014</v>
      </c>
      <c r="I45" s="26">
        <v>2.7799598351247999E-3</v>
      </c>
      <c r="J45" s="26">
        <v>9.4915771513548894E-2</v>
      </c>
      <c r="K45" s="14" t="s">
        <v>596</v>
      </c>
    </row>
    <row r="46" spans="1:11" ht="27.6">
      <c r="A46" s="14" t="s">
        <v>1035</v>
      </c>
      <c r="B46" s="14" t="s">
        <v>1036</v>
      </c>
      <c r="C46" s="14" t="s">
        <v>1037</v>
      </c>
      <c r="D46" s="14" t="s">
        <v>1038</v>
      </c>
      <c r="E46" s="25">
        <v>171.24903648297399</v>
      </c>
      <c r="F46" s="25">
        <v>-2.9083378447843198</v>
      </c>
      <c r="G46" s="25">
        <v>0.82965305595596806</v>
      </c>
      <c r="H46" s="25">
        <v>-3.5054868103067398</v>
      </c>
      <c r="I46" s="26">
        <v>4.557730834839E-4</v>
      </c>
      <c r="J46" s="26">
        <v>3.5241983425864903E-2</v>
      </c>
      <c r="K46" s="14" t="s">
        <v>596</v>
      </c>
    </row>
    <row r="47" spans="1:11" ht="27.6">
      <c r="A47" s="14" t="s">
        <v>1039</v>
      </c>
      <c r="B47" s="14" t="s">
        <v>1040</v>
      </c>
      <c r="C47" s="14" t="s">
        <v>1041</v>
      </c>
      <c r="D47" s="14" t="s">
        <v>1042</v>
      </c>
      <c r="E47" s="25">
        <v>377.60761814516098</v>
      </c>
      <c r="F47" s="25">
        <v>-2.1549873411756</v>
      </c>
      <c r="G47" s="25">
        <v>0.63232909982345398</v>
      </c>
      <c r="H47" s="25">
        <v>-3.40801544919769</v>
      </c>
      <c r="I47" s="26">
        <v>6.5437189720080004E-4</v>
      </c>
      <c r="J47" s="26">
        <v>4.64957761551636E-2</v>
      </c>
      <c r="K47" s="14" t="s">
        <v>596</v>
      </c>
    </row>
    <row r="48" spans="1:11" ht="27.6">
      <c r="A48" s="14" t="s">
        <v>1043</v>
      </c>
      <c r="B48" s="14" t="s">
        <v>1044</v>
      </c>
      <c r="C48" s="14" t="s">
        <v>1045</v>
      </c>
      <c r="D48" s="14" t="s">
        <v>1046</v>
      </c>
      <c r="E48" s="25">
        <v>362.98849416475701</v>
      </c>
      <c r="F48" s="25">
        <v>-2.57180547201042</v>
      </c>
      <c r="G48" s="25">
        <v>0.68328403035334895</v>
      </c>
      <c r="H48" s="25">
        <v>-3.7638893311767498</v>
      </c>
      <c r="I48" s="26">
        <v>1.672909421469E-4</v>
      </c>
      <c r="J48" s="26">
        <v>2.2078463794792301E-2</v>
      </c>
      <c r="K48" s="14" t="s">
        <v>596</v>
      </c>
    </row>
    <row r="49" spans="1:11" ht="27.6">
      <c r="A49" s="14" t="s">
        <v>1047</v>
      </c>
      <c r="B49" s="14" t="s">
        <v>1048</v>
      </c>
      <c r="C49" s="14" t="s">
        <v>1049</v>
      </c>
      <c r="D49" s="14" t="s">
        <v>1050</v>
      </c>
      <c r="E49" s="25">
        <v>1045.0895763476001</v>
      </c>
      <c r="F49" s="25">
        <v>-1.1383162921124901</v>
      </c>
      <c r="G49" s="25">
        <v>0.31717455201810502</v>
      </c>
      <c r="H49" s="25">
        <v>-3.5889269327241502</v>
      </c>
      <c r="I49" s="26">
        <v>3.3204187975190001E-4</v>
      </c>
      <c r="J49" s="26">
        <v>3.0217324216668701E-2</v>
      </c>
      <c r="K49" s="14" t="s">
        <v>596</v>
      </c>
    </row>
    <row r="50" spans="1:11" ht="27.6">
      <c r="A50" s="14" t="s">
        <v>1051</v>
      </c>
      <c r="B50" s="14" t="s">
        <v>1052</v>
      </c>
      <c r="C50" s="14" t="s">
        <v>106</v>
      </c>
      <c r="D50" s="14" t="s">
        <v>1053</v>
      </c>
      <c r="E50" s="25">
        <v>1151.7800889304799</v>
      </c>
      <c r="F50" s="25">
        <v>-1.5496883047324901</v>
      </c>
      <c r="G50" s="25">
        <v>0.49211127672628402</v>
      </c>
      <c r="H50" s="25">
        <v>-3.1490607470765899</v>
      </c>
      <c r="I50" s="26">
        <v>1.6379614283309001E-3</v>
      </c>
      <c r="J50" s="26">
        <v>7.8224726737846098E-2</v>
      </c>
      <c r="K50" s="14" t="s">
        <v>596</v>
      </c>
    </row>
    <row r="51" spans="1:11" ht="27.6">
      <c r="A51" s="14" t="s">
        <v>1054</v>
      </c>
      <c r="B51" s="14" t="s">
        <v>1055</v>
      </c>
      <c r="C51" s="14" t="s">
        <v>106</v>
      </c>
      <c r="D51" s="14" t="s">
        <v>1056</v>
      </c>
      <c r="E51" s="25">
        <v>337.84412436789398</v>
      </c>
      <c r="F51" s="25">
        <v>-1.50218631072029</v>
      </c>
      <c r="G51" s="25">
        <v>0.49767594764482398</v>
      </c>
      <c r="H51" s="25">
        <v>-3.0184024721893099</v>
      </c>
      <c r="I51" s="26">
        <v>2.5411117845599998E-3</v>
      </c>
      <c r="J51" s="26">
        <v>9.0805858465277001E-2</v>
      </c>
      <c r="K51" s="14" t="s">
        <v>596</v>
      </c>
    </row>
    <row r="52" spans="1:11" ht="27.6">
      <c r="A52" s="14" t="s">
        <v>1057</v>
      </c>
      <c r="B52" s="14" t="s">
        <v>1058</v>
      </c>
      <c r="C52" s="14" t="s">
        <v>106</v>
      </c>
      <c r="D52" s="14" t="s">
        <v>646</v>
      </c>
      <c r="E52" s="25">
        <v>273.84483354932001</v>
      </c>
      <c r="F52" s="25">
        <v>-2.2070001894442499</v>
      </c>
      <c r="G52" s="25">
        <v>0.62391550094730897</v>
      </c>
      <c r="H52" s="25">
        <v>-3.5373382871451202</v>
      </c>
      <c r="I52" s="26">
        <v>4.0418161369070002E-4</v>
      </c>
      <c r="J52" s="26">
        <v>3.3206045699784602E-2</v>
      </c>
      <c r="K52" s="14" t="s">
        <v>596</v>
      </c>
    </row>
    <row r="53" spans="1:11" ht="27.6">
      <c r="A53" s="14" t="s">
        <v>1059</v>
      </c>
      <c r="B53" s="14" t="s">
        <v>1060</v>
      </c>
      <c r="C53" s="14" t="s">
        <v>106</v>
      </c>
      <c r="D53" s="14" t="s">
        <v>1061</v>
      </c>
      <c r="E53" s="25">
        <v>4250.9457938998303</v>
      </c>
      <c r="F53" s="25">
        <v>-1.7539637689484799</v>
      </c>
      <c r="G53" s="25">
        <v>0.406387756965785</v>
      </c>
      <c r="H53" s="25">
        <v>-4.3159857522384799</v>
      </c>
      <c r="I53" s="26">
        <v>1.58892228173115E-5</v>
      </c>
      <c r="J53" s="26">
        <v>3.7975242533374001E-3</v>
      </c>
      <c r="K53" s="14" t="s">
        <v>596</v>
      </c>
    </row>
    <row r="54" spans="1:11" ht="27.6">
      <c r="A54" s="14" t="s">
        <v>1062</v>
      </c>
      <c r="B54" s="14" t="s">
        <v>1063</v>
      </c>
      <c r="C54" s="14" t="s">
        <v>106</v>
      </c>
      <c r="D54" s="14" t="s">
        <v>1064</v>
      </c>
      <c r="E54" s="25">
        <v>1739.6998605630899</v>
      </c>
      <c r="F54" s="25">
        <v>-1.9545536106675401</v>
      </c>
      <c r="G54" s="25">
        <v>0.419336040236653</v>
      </c>
      <c r="H54" s="25">
        <v>-4.6610675523250702</v>
      </c>
      <c r="I54" s="26">
        <v>3.1457344628797099E-6</v>
      </c>
      <c r="J54" s="26">
        <v>1.3783559838184E-3</v>
      </c>
      <c r="K54" s="14" t="s">
        <v>596</v>
      </c>
    </row>
    <row r="55" spans="1:11" ht="27.6">
      <c r="A55" s="14" t="s">
        <v>1065</v>
      </c>
      <c r="B55" s="14" t="s">
        <v>1066</v>
      </c>
      <c r="C55" s="14" t="s">
        <v>106</v>
      </c>
      <c r="D55" s="14" t="s">
        <v>1067</v>
      </c>
      <c r="E55" s="25">
        <v>4112.6413988336199</v>
      </c>
      <c r="F55" s="25">
        <v>-1.8776280061009401</v>
      </c>
      <c r="G55" s="25">
        <v>0.416287888812513</v>
      </c>
      <c r="H55" s="25">
        <v>-4.5104074765590596</v>
      </c>
      <c r="I55" s="26">
        <v>6.4703218096271503E-6</v>
      </c>
      <c r="J55" s="26">
        <v>2.1143021691182999E-3</v>
      </c>
      <c r="K55" s="14" t="s">
        <v>596</v>
      </c>
    </row>
    <row r="56" spans="1:11" ht="27.6">
      <c r="A56" s="14" t="s">
        <v>1068</v>
      </c>
      <c r="B56" s="14" t="s">
        <v>1069</v>
      </c>
      <c r="C56" s="14" t="s">
        <v>106</v>
      </c>
      <c r="D56" s="14" t="s">
        <v>646</v>
      </c>
      <c r="E56" s="25">
        <v>1100.6705936466201</v>
      </c>
      <c r="F56" s="25">
        <v>-1.39790736256175</v>
      </c>
      <c r="G56" s="25">
        <v>0.41510423411481501</v>
      </c>
      <c r="H56" s="25">
        <v>-3.3676056461883799</v>
      </c>
      <c r="I56" s="26">
        <v>7.5823969171719997E-4</v>
      </c>
      <c r="J56" s="26">
        <v>5.1113132039096301E-2</v>
      </c>
      <c r="K56" s="14" t="s">
        <v>596</v>
      </c>
    </row>
    <row r="57" spans="1:11" ht="27.6">
      <c r="A57" s="14" t="s">
        <v>1070</v>
      </c>
      <c r="B57" s="14" t="s">
        <v>1071</v>
      </c>
      <c r="C57" s="14" t="s">
        <v>1072</v>
      </c>
      <c r="D57" s="14" t="s">
        <v>1073</v>
      </c>
      <c r="E57" s="25">
        <v>7713.5721761441</v>
      </c>
      <c r="F57" s="25">
        <v>-1.2518399717224</v>
      </c>
      <c r="G57" s="25">
        <v>0.38016318893590001</v>
      </c>
      <c r="H57" s="25">
        <v>-3.2929015963549202</v>
      </c>
      <c r="I57" s="26">
        <v>9.9159173033700008E-4</v>
      </c>
      <c r="J57" s="26">
        <v>5.5465843809705602E-2</v>
      </c>
      <c r="K57" s="14" t="s">
        <v>596</v>
      </c>
    </row>
    <row r="58" spans="1:11" ht="27.6">
      <c r="A58" s="14" t="s">
        <v>1074</v>
      </c>
      <c r="B58" s="14" t="s">
        <v>1075</v>
      </c>
      <c r="C58" s="14" t="s">
        <v>1076</v>
      </c>
      <c r="D58" s="14" t="s">
        <v>1077</v>
      </c>
      <c r="E58" s="25">
        <v>9275.8192763909101</v>
      </c>
      <c r="F58" s="25">
        <v>-1.4420663329683401</v>
      </c>
      <c r="G58" s="25">
        <v>0.38446208746730698</v>
      </c>
      <c r="H58" s="25">
        <v>-3.7508674586566899</v>
      </c>
      <c r="I58" s="26">
        <v>1.7622384000659999E-4</v>
      </c>
      <c r="J58" s="26">
        <v>2.2078463794792301E-2</v>
      </c>
      <c r="K58" s="14" t="s">
        <v>596</v>
      </c>
    </row>
    <row r="59" spans="1:11" ht="27.6">
      <c r="A59" s="14" t="s">
        <v>1078</v>
      </c>
      <c r="B59" s="14" t="s">
        <v>1079</v>
      </c>
      <c r="C59" s="14" t="s">
        <v>106</v>
      </c>
      <c r="D59" s="14" t="s">
        <v>1080</v>
      </c>
      <c r="E59" s="25">
        <v>677.71478242558601</v>
      </c>
      <c r="F59" s="25">
        <v>-1.34233363760629</v>
      </c>
      <c r="G59" s="25">
        <v>0.35943708850774703</v>
      </c>
      <c r="H59" s="25">
        <v>-3.7345440426840102</v>
      </c>
      <c r="I59" s="26">
        <v>1.88055580684E-4</v>
      </c>
      <c r="J59" s="26">
        <v>2.2078463794792301E-2</v>
      </c>
      <c r="K59" s="14" t="s">
        <v>596</v>
      </c>
    </row>
    <row r="60" spans="1:11" ht="27.6">
      <c r="A60" s="14" t="s">
        <v>1081</v>
      </c>
      <c r="B60" s="14" t="s">
        <v>1082</v>
      </c>
      <c r="C60" s="14" t="s">
        <v>1083</v>
      </c>
      <c r="D60" s="14" t="s">
        <v>1084</v>
      </c>
      <c r="E60" s="25">
        <v>2102.76846633076</v>
      </c>
      <c r="F60" s="25">
        <v>-1.46458638476805</v>
      </c>
      <c r="G60" s="25">
        <v>0.44284079733890502</v>
      </c>
      <c r="H60" s="25">
        <v>-3.3072526144135002</v>
      </c>
      <c r="I60" s="26">
        <v>9.4215887794129997E-4</v>
      </c>
      <c r="J60" s="26">
        <v>5.4148336799291798E-2</v>
      </c>
      <c r="K60" s="14" t="s">
        <v>596</v>
      </c>
    </row>
    <row r="61" spans="1:11" ht="27.6">
      <c r="A61" s="14" t="s">
        <v>868</v>
      </c>
      <c r="B61" s="14" t="s">
        <v>1085</v>
      </c>
      <c r="C61" s="14" t="s">
        <v>106</v>
      </c>
      <c r="D61" s="14" t="s">
        <v>1086</v>
      </c>
      <c r="E61" s="25">
        <v>15870.037939542101</v>
      </c>
      <c r="F61" s="25">
        <v>1.12731802911221</v>
      </c>
      <c r="G61" s="25">
        <v>0.34102391252170799</v>
      </c>
      <c r="H61" s="25">
        <v>3.3056861636952002</v>
      </c>
      <c r="I61" s="26">
        <v>9.4744141984300003E-4</v>
      </c>
      <c r="J61" s="26">
        <v>5.4148336799291798E-2</v>
      </c>
      <c r="K61" s="14" t="s">
        <v>588</v>
      </c>
    </row>
    <row r="62" spans="1:11" ht="27.6">
      <c r="A62" s="14" t="s">
        <v>1087</v>
      </c>
      <c r="B62" s="14" t="s">
        <v>1088</v>
      </c>
      <c r="C62" s="14" t="s">
        <v>1089</v>
      </c>
      <c r="D62" s="14" t="s">
        <v>1090</v>
      </c>
      <c r="E62" s="25">
        <v>4889.0776535394498</v>
      </c>
      <c r="F62" s="25">
        <v>-1.1141315626008199</v>
      </c>
      <c r="G62" s="25">
        <v>0.33556985236876402</v>
      </c>
      <c r="H62" s="25">
        <v>-3.3201181653722398</v>
      </c>
      <c r="I62" s="26">
        <v>8.9979353699520001E-4</v>
      </c>
      <c r="J62" s="26">
        <v>5.4148336799291798E-2</v>
      </c>
      <c r="K62" s="14" t="s">
        <v>596</v>
      </c>
    </row>
    <row r="63" spans="1:11" ht="27.6">
      <c r="A63" s="14" t="s">
        <v>1091</v>
      </c>
      <c r="B63" s="14" t="s">
        <v>1092</v>
      </c>
      <c r="C63" s="14" t="s">
        <v>106</v>
      </c>
      <c r="D63" s="14" t="s">
        <v>646</v>
      </c>
      <c r="E63" s="25">
        <v>2916.6108457917799</v>
      </c>
      <c r="F63" s="25">
        <v>1.3344911873093199</v>
      </c>
      <c r="G63" s="25">
        <v>0.35599300123619798</v>
      </c>
      <c r="H63" s="25">
        <v>3.7486444471527598</v>
      </c>
      <c r="I63" s="26">
        <v>1.777929280278E-4</v>
      </c>
      <c r="J63" s="26">
        <v>2.2078463794792301E-2</v>
      </c>
      <c r="K63" s="14" t="s">
        <v>588</v>
      </c>
    </row>
    <row r="64" spans="1:11" ht="27.6">
      <c r="A64" s="14" t="s">
        <v>869</v>
      </c>
      <c r="B64" s="14" t="s">
        <v>1093</v>
      </c>
      <c r="C64" s="14" t="s">
        <v>1094</v>
      </c>
      <c r="D64" s="14" t="s">
        <v>1095</v>
      </c>
      <c r="E64" s="25">
        <v>5707.4832912882002</v>
      </c>
      <c r="F64" s="25">
        <v>1.2555542528797301</v>
      </c>
      <c r="G64" s="25">
        <v>0.34669025930332198</v>
      </c>
      <c r="H64" s="25">
        <v>3.6215446473828998</v>
      </c>
      <c r="I64" s="26">
        <v>2.9284925122189997E-4</v>
      </c>
      <c r="J64" s="26">
        <v>3.0217324216668701E-2</v>
      </c>
      <c r="K64" s="14" t="s">
        <v>588</v>
      </c>
    </row>
    <row r="65" spans="1:11" ht="27.6">
      <c r="A65" s="14" t="s">
        <v>1096</v>
      </c>
      <c r="B65" s="14" t="s">
        <v>1097</v>
      </c>
      <c r="C65" s="14" t="s">
        <v>1098</v>
      </c>
      <c r="D65" s="14" t="s">
        <v>1099</v>
      </c>
      <c r="E65" s="25">
        <v>3913.7080294592702</v>
      </c>
      <c r="F65" s="25">
        <v>0.93920871753745205</v>
      </c>
      <c r="G65" s="25">
        <v>0.31196111197514997</v>
      </c>
      <c r="H65" s="25">
        <v>3.01065960302215</v>
      </c>
      <c r="I65" s="26">
        <v>2.6068090795512999E-3</v>
      </c>
      <c r="J65" s="26">
        <v>9.0805858465277001E-2</v>
      </c>
      <c r="K65" s="14" t="s">
        <v>588</v>
      </c>
    </row>
    <row r="66" spans="1:11" ht="27.6">
      <c r="A66" s="14" t="s">
        <v>1100</v>
      </c>
      <c r="B66" s="14" t="s">
        <v>1101</v>
      </c>
      <c r="C66" s="14" t="s">
        <v>106</v>
      </c>
      <c r="D66" s="14" t="s">
        <v>1102</v>
      </c>
      <c r="E66" s="25">
        <v>1564.69996732498</v>
      </c>
      <c r="F66" s="25">
        <v>1.2789530062044101</v>
      </c>
      <c r="G66" s="25">
        <v>0.42284985894865301</v>
      </c>
      <c r="H66" s="25">
        <v>3.02460312836409</v>
      </c>
      <c r="I66" s="26">
        <v>2.489595782202E-3</v>
      </c>
      <c r="J66" s="26">
        <v>9.0805858465277001E-2</v>
      </c>
      <c r="K66" s="14" t="s">
        <v>588</v>
      </c>
    </row>
    <row r="67" spans="1:11" ht="27.6">
      <c r="A67" s="14" t="s">
        <v>1103</v>
      </c>
      <c r="B67" s="14" t="s">
        <v>1104</v>
      </c>
      <c r="C67" s="14" t="s">
        <v>106</v>
      </c>
      <c r="D67" s="14" t="s">
        <v>1105</v>
      </c>
      <c r="E67" s="25">
        <v>1543.43716471218</v>
      </c>
      <c r="F67" s="25">
        <v>-1.19970897345626</v>
      </c>
      <c r="G67" s="25">
        <v>0.338998471447301</v>
      </c>
      <c r="H67" s="25">
        <v>-3.5389804807505199</v>
      </c>
      <c r="I67" s="26">
        <v>4.0167555263529998E-4</v>
      </c>
      <c r="J67" s="26">
        <v>3.3206045699784602E-2</v>
      </c>
      <c r="K67" s="14" t="s">
        <v>596</v>
      </c>
    </row>
    <row r="68" spans="1:11" ht="27.6">
      <c r="A68" s="14" t="s">
        <v>1106</v>
      </c>
      <c r="B68" s="14" t="s">
        <v>1107</v>
      </c>
      <c r="C68" s="14" t="s">
        <v>1108</v>
      </c>
      <c r="D68" s="14" t="s">
        <v>1109</v>
      </c>
      <c r="E68" s="25">
        <v>1283.71381232461</v>
      </c>
      <c r="F68" s="25">
        <v>-1.2038132894754201</v>
      </c>
      <c r="G68" s="25">
        <v>0.37678366618993903</v>
      </c>
      <c r="H68" s="25">
        <v>-3.1949720688491001</v>
      </c>
      <c r="I68" s="26">
        <v>1.3984437386892999E-3</v>
      </c>
      <c r="J68" s="26">
        <v>7.0702088250275505E-2</v>
      </c>
      <c r="K68" s="14" t="s">
        <v>596</v>
      </c>
    </row>
    <row r="69" spans="1:11" ht="27.6">
      <c r="A69" s="14" t="s">
        <v>1110</v>
      </c>
      <c r="B69" s="14" t="s">
        <v>1111</v>
      </c>
      <c r="C69" s="14" t="s">
        <v>106</v>
      </c>
      <c r="D69" s="14" t="s">
        <v>1112</v>
      </c>
      <c r="E69" s="25">
        <v>3497.4995183706401</v>
      </c>
      <c r="F69" s="25">
        <v>-1.5472425143546</v>
      </c>
      <c r="G69" s="25">
        <v>0.35093613899491699</v>
      </c>
      <c r="H69" s="25">
        <v>-4.4089004876668199</v>
      </c>
      <c r="I69" s="26">
        <v>1.03896748049318E-5</v>
      </c>
      <c r="J69" s="26">
        <v>2.7314455062165E-3</v>
      </c>
      <c r="K69" s="14" t="s">
        <v>596</v>
      </c>
    </row>
    <row r="70" spans="1:11" ht="27.6">
      <c r="A70" s="14" t="s">
        <v>1113</v>
      </c>
      <c r="B70" s="14" t="s">
        <v>1114</v>
      </c>
      <c r="C70" s="14" t="s">
        <v>1115</v>
      </c>
      <c r="D70" s="14" t="s">
        <v>1116</v>
      </c>
      <c r="E70" s="25">
        <v>3651.5181327504201</v>
      </c>
      <c r="F70" s="25">
        <v>-1.03973826571369</v>
      </c>
      <c r="G70" s="25">
        <v>0.33579419893654</v>
      </c>
      <c r="H70" s="25">
        <v>-3.0963556517847599</v>
      </c>
      <c r="I70" s="26">
        <v>1.9591522349260999E-3</v>
      </c>
      <c r="J70" s="26">
        <v>8.3423970445176798E-2</v>
      </c>
      <c r="K70" s="14" t="s">
        <v>596</v>
      </c>
    </row>
    <row r="71" spans="1:11" ht="27.6">
      <c r="A71" s="14" t="s">
        <v>1117</v>
      </c>
      <c r="B71" s="14" t="s">
        <v>1118</v>
      </c>
      <c r="C71" s="14" t="s">
        <v>106</v>
      </c>
      <c r="D71" s="14" t="s">
        <v>1119</v>
      </c>
      <c r="E71" s="25">
        <v>739.93731899923102</v>
      </c>
      <c r="F71" s="25">
        <v>-1.0127374451261999</v>
      </c>
      <c r="G71" s="25">
        <v>0.32257285648682399</v>
      </c>
      <c r="H71" s="25">
        <v>-3.1395618842702202</v>
      </c>
      <c r="I71" s="26">
        <v>1.6920067290743001E-3</v>
      </c>
      <c r="J71" s="26">
        <v>7.8224726737846098E-2</v>
      </c>
      <c r="K71" s="14" t="s">
        <v>596</v>
      </c>
    </row>
    <row r="72" spans="1:11" ht="27.6">
      <c r="A72" s="14" t="s">
        <v>1120</v>
      </c>
      <c r="B72" s="14" t="s">
        <v>1121</v>
      </c>
      <c r="C72" s="14" t="s">
        <v>1122</v>
      </c>
      <c r="D72" s="14" t="s">
        <v>1123</v>
      </c>
      <c r="E72" s="25">
        <v>3602.3244731775499</v>
      </c>
      <c r="F72" s="25">
        <v>-1.12308742570147</v>
      </c>
      <c r="G72" s="25">
        <v>0.32734736810232701</v>
      </c>
      <c r="H72" s="25">
        <v>-3.4308735463863602</v>
      </c>
      <c r="I72" s="26">
        <v>6.0164098919829995E-4</v>
      </c>
      <c r="J72" s="26">
        <v>4.3936504461180297E-2</v>
      </c>
      <c r="K72" s="14" t="s">
        <v>596</v>
      </c>
    </row>
    <row r="73" spans="1:11" ht="27.6">
      <c r="A73" s="14" t="s">
        <v>1124</v>
      </c>
      <c r="B73" s="14" t="s">
        <v>1125</v>
      </c>
      <c r="C73" s="14" t="s">
        <v>1126</v>
      </c>
      <c r="D73" s="14" t="s">
        <v>1127</v>
      </c>
      <c r="E73" s="25">
        <v>95.955980963829305</v>
      </c>
      <c r="F73" s="25">
        <v>-1.9275154828099199</v>
      </c>
      <c r="G73" s="25">
        <v>0.64068094315317603</v>
      </c>
      <c r="H73" s="25">
        <v>-3.00854193246869</v>
      </c>
      <c r="I73" s="26">
        <v>2.6250457372996999E-3</v>
      </c>
      <c r="J73" s="26">
        <v>9.0805858465277001E-2</v>
      </c>
      <c r="K73" s="14" t="s">
        <v>596</v>
      </c>
    </row>
    <row r="74" spans="1:11" ht="27.6">
      <c r="A74" s="14" t="s">
        <v>1128</v>
      </c>
      <c r="B74" s="14" t="s">
        <v>1129</v>
      </c>
      <c r="C74" s="14" t="s">
        <v>106</v>
      </c>
      <c r="D74" s="14" t="s">
        <v>1130</v>
      </c>
      <c r="E74" s="25">
        <v>1587.83211875038</v>
      </c>
      <c r="F74" s="25">
        <v>-1.2107610826392601</v>
      </c>
      <c r="G74" s="25">
        <v>0.40837385004132498</v>
      </c>
      <c r="H74" s="25">
        <v>-2.9648349974336998</v>
      </c>
      <c r="I74" s="26">
        <v>3.0284531487291002E-3</v>
      </c>
      <c r="J74" s="26">
        <v>9.99947776932259E-2</v>
      </c>
      <c r="K74" s="14" t="s">
        <v>596</v>
      </c>
    </row>
    <row r="75" spans="1:11" ht="27.6">
      <c r="A75" s="14" t="s">
        <v>1131</v>
      </c>
      <c r="B75" s="14" t="s">
        <v>1132</v>
      </c>
      <c r="C75" s="14" t="s">
        <v>106</v>
      </c>
      <c r="D75" s="14" t="s">
        <v>1133</v>
      </c>
      <c r="E75" s="25">
        <v>14987.067292200099</v>
      </c>
      <c r="F75" s="25">
        <v>1.23531956182709</v>
      </c>
      <c r="G75" s="25">
        <v>0.37361671703688498</v>
      </c>
      <c r="H75" s="25">
        <v>3.30638192965315</v>
      </c>
      <c r="I75" s="26">
        <v>9.4509171052690002E-4</v>
      </c>
      <c r="J75" s="26">
        <v>5.4148336799291798E-2</v>
      </c>
      <c r="K75" s="14" t="s">
        <v>588</v>
      </c>
    </row>
    <row r="76" spans="1:11" ht="27.6">
      <c r="A76" s="14" t="s">
        <v>1134</v>
      </c>
      <c r="B76" s="14" t="s">
        <v>1135</v>
      </c>
      <c r="C76" s="14" t="s">
        <v>106</v>
      </c>
      <c r="D76" s="14" t="s">
        <v>1136</v>
      </c>
      <c r="E76" s="25">
        <v>5275.1426215565798</v>
      </c>
      <c r="F76" s="25">
        <v>1.0864995600418199</v>
      </c>
      <c r="G76" s="25">
        <v>0.32214694693912899</v>
      </c>
      <c r="H76" s="25">
        <v>3.3726830887741301</v>
      </c>
      <c r="I76" s="26">
        <v>7.4439577056160001E-4</v>
      </c>
      <c r="J76" s="26">
        <v>5.1113132039096301E-2</v>
      </c>
      <c r="K76" s="14" t="s">
        <v>588</v>
      </c>
    </row>
    <row r="77" spans="1:11" ht="27.6">
      <c r="A77" s="14" t="s">
        <v>1137</v>
      </c>
      <c r="B77" s="14" t="s">
        <v>1138</v>
      </c>
      <c r="C77" s="14" t="s">
        <v>1139</v>
      </c>
      <c r="D77" s="14" t="s">
        <v>1140</v>
      </c>
      <c r="E77" s="25">
        <v>1897.31551180626</v>
      </c>
      <c r="F77" s="25">
        <v>1.45099822150073</v>
      </c>
      <c r="G77" s="25">
        <v>0.30297955975052998</v>
      </c>
      <c r="H77" s="25">
        <v>4.7890960786115899</v>
      </c>
      <c r="I77" s="26">
        <v>1.67534258080507E-6</v>
      </c>
      <c r="J77" s="26">
        <v>8.8089512898730004E-4</v>
      </c>
      <c r="K77" s="14" t="s">
        <v>588</v>
      </c>
    </row>
    <row r="78" spans="1:11" ht="27.6">
      <c r="A78" s="14" t="s">
        <v>1141</v>
      </c>
      <c r="B78" s="14" t="s">
        <v>1142</v>
      </c>
      <c r="C78" s="14" t="s">
        <v>1143</v>
      </c>
      <c r="D78" s="14" t="s">
        <v>1144</v>
      </c>
      <c r="E78" s="25">
        <v>3566.2510541553802</v>
      </c>
      <c r="F78" s="25">
        <v>-1.32162001612224</v>
      </c>
      <c r="G78" s="25">
        <v>0.36780865253669798</v>
      </c>
      <c r="H78" s="25">
        <v>-3.5932270951412</v>
      </c>
      <c r="I78" s="26">
        <v>3.2660769871979998E-4</v>
      </c>
      <c r="J78" s="26">
        <v>3.0217324216668701E-2</v>
      </c>
      <c r="K78" s="14" t="s">
        <v>596</v>
      </c>
    </row>
    <row r="79" spans="1:11" ht="27.6">
      <c r="A79" s="14" t="s">
        <v>1145</v>
      </c>
      <c r="B79" s="14" t="s">
        <v>1146</v>
      </c>
      <c r="C79" s="14" t="s">
        <v>1147</v>
      </c>
      <c r="D79" s="14" t="s">
        <v>1148</v>
      </c>
      <c r="E79" s="25">
        <v>2760.1038325822501</v>
      </c>
      <c r="F79" s="25">
        <v>-1.2725263157742399</v>
      </c>
      <c r="G79" s="25">
        <v>0.324069717868532</v>
      </c>
      <c r="H79" s="25">
        <v>-3.9267054143284001</v>
      </c>
      <c r="I79" s="26">
        <v>8.611734798107E-5</v>
      </c>
      <c r="J79" s="26">
        <v>1.50935005228155E-2</v>
      </c>
      <c r="K79" s="14" t="s">
        <v>596</v>
      </c>
    </row>
    <row r="80" spans="1:11" ht="27.6">
      <c r="A80" s="14" t="s">
        <v>1149</v>
      </c>
      <c r="B80" s="14" t="s">
        <v>1150</v>
      </c>
      <c r="C80" s="14" t="s">
        <v>106</v>
      </c>
      <c r="D80" s="14" t="s">
        <v>1151</v>
      </c>
      <c r="E80" s="25">
        <v>350.443730224864</v>
      </c>
      <c r="F80" s="25">
        <v>-1.9407749732830999</v>
      </c>
      <c r="G80" s="25">
        <v>0.62495193482195299</v>
      </c>
      <c r="H80" s="25">
        <v>-3.1054787818778702</v>
      </c>
      <c r="I80" s="26">
        <v>1.8997124983048E-3</v>
      </c>
      <c r="J80" s="26">
        <v>8.3423970445176798E-2</v>
      </c>
      <c r="K80" s="14" t="s">
        <v>596</v>
      </c>
    </row>
    <row r="81" spans="1:11" ht="27.6">
      <c r="A81" s="14" t="s">
        <v>1152</v>
      </c>
      <c r="B81" s="14" t="s">
        <v>1153</v>
      </c>
      <c r="C81" s="14" t="s">
        <v>106</v>
      </c>
      <c r="D81" s="14" t="s">
        <v>927</v>
      </c>
      <c r="E81" s="25">
        <v>1037.81153028787</v>
      </c>
      <c r="F81" s="25">
        <v>-1.9928071872233499</v>
      </c>
      <c r="G81" s="25">
        <v>0.47292976978912799</v>
      </c>
      <c r="H81" s="25">
        <v>-4.21374866740131</v>
      </c>
      <c r="I81" s="26">
        <v>2.5116677200249299E-5</v>
      </c>
      <c r="J81" s="26">
        <v>5.0793649507273001E-3</v>
      </c>
      <c r="K81" s="14" t="s">
        <v>596</v>
      </c>
    </row>
    <row r="82" spans="1:11" ht="27.6">
      <c r="A82" s="14" t="s">
        <v>1154</v>
      </c>
      <c r="B82" s="14" t="s">
        <v>1155</v>
      </c>
      <c r="C82" s="14" t="s">
        <v>106</v>
      </c>
      <c r="D82" s="14" t="s">
        <v>1156</v>
      </c>
      <c r="E82" s="25">
        <v>293.26933658877402</v>
      </c>
      <c r="F82" s="25">
        <v>-2.3968166501329802</v>
      </c>
      <c r="G82" s="25">
        <v>0.62062405613258298</v>
      </c>
      <c r="H82" s="25">
        <v>-3.8619460951428999</v>
      </c>
      <c r="I82" s="26">
        <v>1.124873894284E-4</v>
      </c>
      <c r="J82" s="26">
        <v>1.84830841754643E-2</v>
      </c>
      <c r="K82" s="14" t="s">
        <v>596</v>
      </c>
    </row>
    <row r="83" spans="1:11" ht="27.6">
      <c r="A83" s="14" t="s">
        <v>1157</v>
      </c>
      <c r="B83" s="14" t="s">
        <v>1158</v>
      </c>
      <c r="C83" s="14" t="s">
        <v>106</v>
      </c>
      <c r="D83" s="14" t="s">
        <v>1159</v>
      </c>
      <c r="E83" s="25">
        <v>524.51532583184996</v>
      </c>
      <c r="F83" s="25">
        <v>-2.1900283447591198</v>
      </c>
      <c r="G83" s="25">
        <v>0.65759996895822903</v>
      </c>
      <c r="H83" s="25">
        <v>-3.3303352313543502</v>
      </c>
      <c r="I83" s="26">
        <v>8.6741483602060002E-4</v>
      </c>
      <c r="J83" s="26">
        <v>5.4148336799291798E-2</v>
      </c>
      <c r="K83" s="14" t="s">
        <v>596</v>
      </c>
    </row>
    <row r="84" spans="1:11" ht="27.6">
      <c r="A84" s="14" t="s">
        <v>870</v>
      </c>
      <c r="B84" s="14" t="s">
        <v>1160</v>
      </c>
      <c r="C84" s="14" t="s">
        <v>1161</v>
      </c>
      <c r="D84" s="14" t="s">
        <v>1162</v>
      </c>
      <c r="E84" s="25">
        <v>8424.6715943358304</v>
      </c>
      <c r="F84" s="25">
        <v>0.841373979398649</v>
      </c>
      <c r="G84" s="25">
        <v>0.27648202125310001</v>
      </c>
      <c r="H84" s="25">
        <v>3.0431417405923402</v>
      </c>
      <c r="I84" s="26">
        <v>2.3412202947223001E-3</v>
      </c>
      <c r="J84" s="26">
        <v>8.7929545068929402E-2</v>
      </c>
      <c r="K84" s="14" t="s">
        <v>588</v>
      </c>
    </row>
  </sheetData>
  <mergeCells count="2">
    <mergeCell ref="A1:K1"/>
    <mergeCell ref="A2:K2"/>
  </mergeCells>
  <conditionalFormatting sqref="K5:K84">
    <cfRule type="expression" dxfId="1" priority="1">
      <formula>K5="Upregulated"</formula>
    </cfRule>
    <cfRule type="expression" dxfId="0" priority="2">
      <formula>K5="Downregulated"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selection activeCell="A2" sqref="A2"/>
    </sheetView>
  </sheetViews>
  <sheetFormatPr defaultRowHeight="13.8"/>
  <cols>
    <col min="1" max="1" width="58" customWidth="1"/>
    <col min="2" max="17" width="14" customWidth="1"/>
  </cols>
  <sheetData>
    <row r="1" spans="1:17" ht="20.85" customHeight="1">
      <c r="A1" s="15" t="s">
        <v>680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30.45" customHeight="1">
      <c r="A2" s="21" t="s">
        <v>681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spans="1:17" ht="31.95" customHeight="1">
      <c r="A4" s="2" t="s">
        <v>682</v>
      </c>
      <c r="B4" s="3" t="s">
        <v>238</v>
      </c>
      <c r="C4" s="3" t="s">
        <v>111</v>
      </c>
      <c r="D4" s="3" t="s">
        <v>191</v>
      </c>
      <c r="E4" s="3" t="s">
        <v>261</v>
      </c>
      <c r="F4" s="3" t="s">
        <v>135</v>
      </c>
      <c r="G4" s="3" t="s">
        <v>120</v>
      </c>
      <c r="H4" s="3" t="s">
        <v>130</v>
      </c>
      <c r="I4" s="3" t="s">
        <v>105</v>
      </c>
      <c r="J4" s="3" t="s">
        <v>181</v>
      </c>
      <c r="K4" s="3" t="s">
        <v>214</v>
      </c>
      <c r="L4" s="3" t="s">
        <v>167</v>
      </c>
      <c r="M4" s="3" t="s">
        <v>283</v>
      </c>
      <c r="N4" s="3" t="s">
        <v>539</v>
      </c>
      <c r="O4" s="3" t="s">
        <v>273</v>
      </c>
      <c r="P4" s="3" t="s">
        <v>226</v>
      </c>
      <c r="Q4" s="4" t="s">
        <v>202</v>
      </c>
    </row>
    <row r="5" spans="1:17">
      <c r="A5" s="5" t="s">
        <v>683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7">
        <v>0</v>
      </c>
    </row>
    <row r="6" spans="1:17">
      <c r="A6" s="8" t="s">
        <v>684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10">
        <v>0</v>
      </c>
    </row>
    <row r="7" spans="1:17">
      <c r="A7" s="8" t="s">
        <v>685</v>
      </c>
      <c r="B7" s="9">
        <v>0</v>
      </c>
      <c r="C7" s="9">
        <v>0</v>
      </c>
      <c r="D7" s="9">
        <v>1</v>
      </c>
      <c r="E7" s="9">
        <v>0</v>
      </c>
      <c r="F7" s="9">
        <v>0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1</v>
      </c>
      <c r="O7" s="9">
        <v>0</v>
      </c>
      <c r="P7" s="9">
        <v>0</v>
      </c>
      <c r="Q7" s="10">
        <v>1</v>
      </c>
    </row>
    <row r="8" spans="1:17">
      <c r="A8" s="8" t="s">
        <v>686</v>
      </c>
      <c r="B8" s="9">
        <v>0</v>
      </c>
      <c r="C8" s="9">
        <v>0</v>
      </c>
      <c r="D8" s="9">
        <v>0</v>
      </c>
      <c r="E8" s="9">
        <v>1</v>
      </c>
      <c r="F8" s="9">
        <v>0</v>
      </c>
      <c r="G8" s="9">
        <v>0</v>
      </c>
      <c r="H8" s="9">
        <v>0</v>
      </c>
      <c r="I8" s="9">
        <v>1</v>
      </c>
      <c r="J8" s="9">
        <v>0</v>
      </c>
      <c r="K8" s="9">
        <v>0</v>
      </c>
      <c r="L8" s="9">
        <v>0</v>
      </c>
      <c r="M8" s="9">
        <v>0</v>
      </c>
      <c r="N8" s="9">
        <v>1</v>
      </c>
      <c r="O8" s="9">
        <v>0</v>
      </c>
      <c r="P8" s="9">
        <v>0</v>
      </c>
      <c r="Q8" s="10">
        <v>0</v>
      </c>
    </row>
    <row r="9" spans="1:17" ht="27.6">
      <c r="A9" s="8" t="s">
        <v>687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0</v>
      </c>
      <c r="M9" s="9">
        <v>1</v>
      </c>
      <c r="N9" s="9">
        <v>1</v>
      </c>
      <c r="O9" s="9">
        <v>1</v>
      </c>
      <c r="P9" s="9">
        <v>1</v>
      </c>
      <c r="Q9" s="10">
        <v>1</v>
      </c>
    </row>
    <row r="10" spans="1:17">
      <c r="A10" s="8" t="s">
        <v>688</v>
      </c>
      <c r="B10" s="9">
        <v>0</v>
      </c>
      <c r="C10" s="9">
        <v>1</v>
      </c>
      <c r="D10" s="9">
        <v>1</v>
      </c>
      <c r="E10" s="9">
        <v>1</v>
      </c>
      <c r="F10" s="9">
        <v>0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0</v>
      </c>
      <c r="M10" s="9">
        <v>1</v>
      </c>
      <c r="N10" s="9">
        <v>1</v>
      </c>
      <c r="O10" s="9">
        <v>0</v>
      </c>
      <c r="P10" s="9">
        <v>0</v>
      </c>
      <c r="Q10" s="10">
        <v>1</v>
      </c>
    </row>
    <row r="11" spans="1:17">
      <c r="A11" s="8" t="s">
        <v>689</v>
      </c>
      <c r="B11" s="9">
        <v>0</v>
      </c>
      <c r="C11" s="9">
        <v>0</v>
      </c>
      <c r="D11" s="9">
        <v>1</v>
      </c>
      <c r="E11" s="9">
        <v>0</v>
      </c>
      <c r="F11" s="9">
        <v>0</v>
      </c>
      <c r="G11" s="9">
        <v>1</v>
      </c>
      <c r="H11" s="9">
        <v>0</v>
      </c>
      <c r="I11" s="9">
        <v>1</v>
      </c>
      <c r="J11" s="9">
        <v>0</v>
      </c>
      <c r="K11" s="9">
        <v>0</v>
      </c>
      <c r="L11" s="9">
        <v>0</v>
      </c>
      <c r="M11" s="9">
        <v>1</v>
      </c>
      <c r="N11" s="9">
        <v>1</v>
      </c>
      <c r="O11" s="9">
        <v>1</v>
      </c>
      <c r="P11" s="9">
        <v>0</v>
      </c>
      <c r="Q11" s="10">
        <v>1</v>
      </c>
    </row>
    <row r="12" spans="1:17">
      <c r="A12" s="8" t="s">
        <v>690</v>
      </c>
      <c r="B12" s="9">
        <v>0</v>
      </c>
      <c r="C12" s="9">
        <v>0</v>
      </c>
      <c r="D12" s="9">
        <v>1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1</v>
      </c>
      <c r="O12" s="9">
        <v>0</v>
      </c>
      <c r="P12" s="9">
        <v>0</v>
      </c>
      <c r="Q12" s="10">
        <v>0</v>
      </c>
    </row>
    <row r="13" spans="1:17">
      <c r="A13" s="8" t="s">
        <v>691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10">
        <v>0</v>
      </c>
    </row>
    <row r="14" spans="1:17">
      <c r="A14" s="8" t="s">
        <v>692</v>
      </c>
      <c r="B14" s="9">
        <v>1</v>
      </c>
      <c r="C14" s="9">
        <v>1</v>
      </c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1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10">
        <v>1</v>
      </c>
    </row>
    <row r="15" spans="1:17">
      <c r="A15" s="8" t="s">
        <v>693</v>
      </c>
      <c r="B15" s="9">
        <v>0</v>
      </c>
      <c r="C15" s="9">
        <v>0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1</v>
      </c>
      <c r="O15" s="9">
        <v>0</v>
      </c>
      <c r="P15" s="9">
        <v>0</v>
      </c>
      <c r="Q15" s="10">
        <v>0</v>
      </c>
    </row>
    <row r="16" spans="1:17">
      <c r="A16" s="8" t="s">
        <v>694</v>
      </c>
      <c r="B16" s="9">
        <v>1</v>
      </c>
      <c r="C16" s="9">
        <v>1</v>
      </c>
      <c r="D16" s="9">
        <v>1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1</v>
      </c>
      <c r="K16" s="9">
        <v>1</v>
      </c>
      <c r="L16" s="9">
        <v>0</v>
      </c>
      <c r="M16" s="9">
        <v>0</v>
      </c>
      <c r="N16" s="9">
        <v>1</v>
      </c>
      <c r="O16" s="9">
        <v>0</v>
      </c>
      <c r="P16" s="9">
        <v>0</v>
      </c>
      <c r="Q16" s="10">
        <v>1</v>
      </c>
    </row>
    <row r="17" spans="1:17">
      <c r="A17" s="8" t="s">
        <v>695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  <c r="H17" s="9">
        <v>0</v>
      </c>
      <c r="I17" s="9">
        <v>0</v>
      </c>
      <c r="J17" s="9">
        <v>0</v>
      </c>
      <c r="K17" s="9">
        <v>0</v>
      </c>
      <c r="L17" s="9">
        <v>1</v>
      </c>
      <c r="M17" s="9">
        <v>1</v>
      </c>
      <c r="N17" s="9">
        <v>1</v>
      </c>
      <c r="O17" s="9">
        <v>1</v>
      </c>
      <c r="P17" s="9">
        <v>0</v>
      </c>
      <c r="Q17" s="10">
        <v>0</v>
      </c>
    </row>
    <row r="18" spans="1:17">
      <c r="A18" s="8" t="s">
        <v>696</v>
      </c>
      <c r="B18" s="9">
        <v>0</v>
      </c>
      <c r="C18" s="9">
        <v>0</v>
      </c>
      <c r="D18" s="9">
        <v>0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1</v>
      </c>
      <c r="M18" s="9">
        <v>1</v>
      </c>
      <c r="N18" s="9">
        <v>1</v>
      </c>
      <c r="O18" s="9">
        <v>1</v>
      </c>
      <c r="P18" s="9">
        <v>0</v>
      </c>
      <c r="Q18" s="10">
        <v>0</v>
      </c>
    </row>
    <row r="19" spans="1:17">
      <c r="A19" s="8" t="s">
        <v>697</v>
      </c>
      <c r="B19" s="9">
        <v>1</v>
      </c>
      <c r="C19" s="9">
        <v>0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1</v>
      </c>
      <c r="O19" s="9">
        <v>0</v>
      </c>
      <c r="P19" s="9">
        <v>1</v>
      </c>
      <c r="Q19" s="10">
        <v>0</v>
      </c>
    </row>
    <row r="20" spans="1:17">
      <c r="A20" s="8" t="s">
        <v>698</v>
      </c>
      <c r="B20" s="9">
        <v>1</v>
      </c>
      <c r="C20" s="9">
        <v>1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10">
        <v>1</v>
      </c>
    </row>
    <row r="21" spans="1:17">
      <c r="A21" s="8" t="s">
        <v>699</v>
      </c>
      <c r="B21" s="9">
        <v>1</v>
      </c>
      <c r="C21" s="9">
        <v>1</v>
      </c>
      <c r="D21" s="9">
        <v>1</v>
      </c>
      <c r="E21" s="9">
        <v>1</v>
      </c>
      <c r="F21" s="9">
        <v>0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0</v>
      </c>
      <c r="M21" s="9">
        <v>1</v>
      </c>
      <c r="N21" s="9">
        <v>1</v>
      </c>
      <c r="O21" s="9">
        <v>1</v>
      </c>
      <c r="P21" s="9">
        <v>1</v>
      </c>
      <c r="Q21" s="10">
        <v>1</v>
      </c>
    </row>
    <row r="22" spans="1:17">
      <c r="A22" s="8" t="s">
        <v>700</v>
      </c>
      <c r="B22" s="9">
        <v>0</v>
      </c>
      <c r="C22" s="9">
        <v>0</v>
      </c>
      <c r="D22" s="9">
        <v>0</v>
      </c>
      <c r="E22" s="9">
        <v>1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</row>
    <row r="23" spans="1:17">
      <c r="A23" s="8" t="s">
        <v>701</v>
      </c>
      <c r="B23" s="9">
        <v>1</v>
      </c>
      <c r="C23" s="9">
        <v>1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9">
        <v>1</v>
      </c>
      <c r="Q23" s="10">
        <v>1</v>
      </c>
    </row>
    <row r="24" spans="1:17">
      <c r="A24" s="8" t="s">
        <v>702</v>
      </c>
      <c r="B24" s="9">
        <v>0</v>
      </c>
      <c r="C24" s="9">
        <v>0</v>
      </c>
      <c r="D24" s="9">
        <v>0</v>
      </c>
      <c r="E24" s="9">
        <v>1</v>
      </c>
      <c r="F24" s="9">
        <v>0</v>
      </c>
      <c r="G24" s="9">
        <v>1</v>
      </c>
      <c r="H24" s="9">
        <v>1</v>
      </c>
      <c r="I24" s="9">
        <v>1</v>
      </c>
      <c r="J24" s="9">
        <v>1</v>
      </c>
      <c r="K24" s="9">
        <v>0</v>
      </c>
      <c r="L24" s="9">
        <v>0</v>
      </c>
      <c r="M24" s="9">
        <v>1</v>
      </c>
      <c r="N24" s="9">
        <v>1</v>
      </c>
      <c r="O24" s="9">
        <v>1</v>
      </c>
      <c r="P24" s="9">
        <v>0</v>
      </c>
      <c r="Q24" s="10">
        <v>0</v>
      </c>
    </row>
    <row r="25" spans="1:17">
      <c r="A25" s="8" t="s">
        <v>703</v>
      </c>
      <c r="B25" s="9">
        <v>0</v>
      </c>
      <c r="C25" s="9">
        <v>0</v>
      </c>
      <c r="D25" s="9">
        <v>0</v>
      </c>
      <c r="E25" s="9">
        <v>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</row>
    <row r="26" spans="1:17">
      <c r="A26" s="8" t="s">
        <v>704</v>
      </c>
      <c r="B26" s="9">
        <v>1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10">
        <v>1</v>
      </c>
    </row>
    <row r="27" spans="1:17">
      <c r="A27" s="8" t="s">
        <v>705</v>
      </c>
      <c r="B27" s="9">
        <v>1</v>
      </c>
      <c r="C27" s="9">
        <v>1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9">
        <v>1</v>
      </c>
      <c r="Q27" s="10">
        <v>1</v>
      </c>
    </row>
    <row r="28" spans="1:17">
      <c r="A28" s="8" t="s">
        <v>706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0</v>
      </c>
      <c r="M28" s="9">
        <v>0</v>
      </c>
      <c r="N28" s="9">
        <v>1</v>
      </c>
      <c r="O28" s="9">
        <v>0</v>
      </c>
      <c r="P28" s="9">
        <v>0</v>
      </c>
      <c r="Q28" s="10">
        <v>0</v>
      </c>
    </row>
    <row r="29" spans="1:17">
      <c r="A29" s="8" t="s">
        <v>707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1</v>
      </c>
      <c r="K29" s="9">
        <v>0</v>
      </c>
      <c r="L29" s="9">
        <v>0</v>
      </c>
      <c r="M29" s="9">
        <v>0</v>
      </c>
      <c r="N29" s="9">
        <v>1</v>
      </c>
      <c r="O29" s="9">
        <v>0</v>
      </c>
      <c r="P29" s="9">
        <v>0</v>
      </c>
      <c r="Q29" s="10">
        <v>0</v>
      </c>
    </row>
    <row r="30" spans="1:17">
      <c r="A30" s="11" t="s">
        <v>708</v>
      </c>
      <c r="B30" s="12">
        <v>0</v>
      </c>
      <c r="C30" s="12">
        <v>0</v>
      </c>
      <c r="D30" s="12">
        <v>1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1</v>
      </c>
      <c r="K30" s="12">
        <v>1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3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6" sqref="C6"/>
    </sheetView>
  </sheetViews>
  <sheetFormatPr defaultRowHeight="13.8"/>
  <cols>
    <col min="1" max="1" width="22" customWidth="1"/>
    <col min="2" max="3" width="16" customWidth="1"/>
    <col min="4" max="5" width="42" customWidth="1"/>
  </cols>
  <sheetData>
    <row r="1" spans="1:5" ht="20.85" customHeight="1">
      <c r="A1" s="15" t="s">
        <v>709</v>
      </c>
      <c r="B1" s="15"/>
      <c r="C1" s="15"/>
      <c r="D1" s="15"/>
      <c r="E1" s="15"/>
    </row>
    <row r="2" spans="1:5" ht="30.45" customHeight="1">
      <c r="A2" s="21" t="s">
        <v>1163</v>
      </c>
      <c r="B2" s="1"/>
      <c r="C2" s="1"/>
      <c r="D2" s="1"/>
      <c r="E2" s="1"/>
    </row>
    <row r="4" spans="1:5" ht="31.95" customHeight="1">
      <c r="A4" s="2" t="s">
        <v>710</v>
      </c>
      <c r="B4" s="3" t="s">
        <v>711</v>
      </c>
      <c r="C4" s="3" t="s">
        <v>712</v>
      </c>
      <c r="D4" s="3" t="s">
        <v>713</v>
      </c>
      <c r="E4" s="4" t="s">
        <v>714</v>
      </c>
    </row>
    <row r="5" spans="1:5">
      <c r="A5" s="5" t="s">
        <v>715</v>
      </c>
      <c r="B5" s="6">
        <v>16</v>
      </c>
      <c r="C5" s="6" t="s">
        <v>716</v>
      </c>
      <c r="D5" s="6" t="s">
        <v>717</v>
      </c>
      <c r="E5" s="7" t="s">
        <v>718</v>
      </c>
    </row>
    <row r="6" spans="1:5">
      <c r="A6" s="8" t="s">
        <v>483</v>
      </c>
      <c r="B6" s="9">
        <v>16</v>
      </c>
      <c r="C6" s="9" t="s">
        <v>716</v>
      </c>
      <c r="D6" s="9" t="s">
        <v>719</v>
      </c>
      <c r="E6" s="10" t="s">
        <v>718</v>
      </c>
    </row>
    <row r="7" spans="1:5">
      <c r="A7" s="8" t="s">
        <v>484</v>
      </c>
      <c r="B7" s="9">
        <v>16</v>
      </c>
      <c r="C7" s="9" t="s">
        <v>716</v>
      </c>
      <c r="D7" s="9" t="s">
        <v>719</v>
      </c>
      <c r="E7" s="10" t="s">
        <v>720</v>
      </c>
    </row>
    <row r="8" spans="1:5">
      <c r="A8" s="8" t="s">
        <v>721</v>
      </c>
      <c r="B8" s="9">
        <v>16</v>
      </c>
      <c r="C8" s="9" t="s">
        <v>716</v>
      </c>
      <c r="D8" s="9" t="s">
        <v>717</v>
      </c>
      <c r="E8" s="10" t="s">
        <v>722</v>
      </c>
    </row>
    <row r="9" spans="1:5">
      <c r="A9" s="8" t="s">
        <v>723</v>
      </c>
      <c r="B9" s="9">
        <v>16</v>
      </c>
      <c r="C9" s="9" t="s">
        <v>716</v>
      </c>
      <c r="D9" s="9" t="s">
        <v>717</v>
      </c>
      <c r="E9" s="10" t="s">
        <v>722</v>
      </c>
    </row>
    <row r="10" spans="1:5" ht="27.6">
      <c r="A10" s="8" t="s">
        <v>481</v>
      </c>
      <c r="B10" s="9">
        <v>16</v>
      </c>
      <c r="C10" s="9" t="s">
        <v>716</v>
      </c>
      <c r="D10" s="9" t="s">
        <v>724</v>
      </c>
      <c r="E10" s="10" t="s">
        <v>725</v>
      </c>
    </row>
    <row r="11" spans="1:5" ht="27.6">
      <c r="A11" s="8" t="s">
        <v>490</v>
      </c>
      <c r="B11" s="9">
        <v>16</v>
      </c>
      <c r="C11" s="9" t="s">
        <v>716</v>
      </c>
      <c r="D11" s="9" t="s">
        <v>724</v>
      </c>
      <c r="E11" s="10" t="s">
        <v>725</v>
      </c>
    </row>
    <row r="12" spans="1:5">
      <c r="A12" s="8" t="s">
        <v>503</v>
      </c>
      <c r="B12" s="9">
        <v>10</v>
      </c>
      <c r="C12" s="9" t="s">
        <v>726</v>
      </c>
      <c r="D12" s="9" t="s">
        <v>727</v>
      </c>
      <c r="E12" s="10" t="s">
        <v>728</v>
      </c>
    </row>
    <row r="13" spans="1:5">
      <c r="A13" s="8" t="s">
        <v>729</v>
      </c>
      <c r="B13" s="9">
        <v>11</v>
      </c>
      <c r="C13" s="9" t="s">
        <v>726</v>
      </c>
      <c r="D13" s="9" t="s">
        <v>730</v>
      </c>
      <c r="E13" s="10" t="s">
        <v>731</v>
      </c>
    </row>
    <row r="14" spans="1:5">
      <c r="A14" s="11" t="s">
        <v>732</v>
      </c>
      <c r="B14" s="12">
        <v>6</v>
      </c>
      <c r="C14" s="12" t="s">
        <v>726</v>
      </c>
      <c r="D14" s="12" t="s">
        <v>717</v>
      </c>
      <c r="E14" s="13" t="s">
        <v>718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2" sqref="A2"/>
    </sheetView>
  </sheetViews>
  <sheetFormatPr defaultRowHeight="13.8"/>
  <cols>
    <col min="1" max="1" width="22" customWidth="1"/>
    <col min="2" max="4" width="16" customWidth="1"/>
  </cols>
  <sheetData>
    <row r="1" spans="1:4" ht="20.85" customHeight="1">
      <c r="A1" s="15" t="s">
        <v>733</v>
      </c>
      <c r="B1" s="15"/>
      <c r="C1" s="15"/>
      <c r="D1" s="15"/>
    </row>
    <row r="2" spans="1:4" ht="30.45" customHeight="1">
      <c r="A2" s="21" t="s">
        <v>734</v>
      </c>
      <c r="B2" s="1"/>
      <c r="C2" s="1"/>
      <c r="D2" s="1"/>
    </row>
    <row r="4" spans="1:4" ht="31.95" customHeight="1">
      <c r="A4" s="2" t="s">
        <v>453</v>
      </c>
      <c r="B4" s="3" t="s">
        <v>735</v>
      </c>
      <c r="C4" s="3" t="s">
        <v>736</v>
      </c>
      <c r="D4" s="4" t="s">
        <v>737</v>
      </c>
    </row>
    <row r="5" spans="1:4">
      <c r="A5" s="5" t="s">
        <v>120</v>
      </c>
      <c r="B5" s="6">
        <v>9</v>
      </c>
      <c r="C5" s="6" t="s">
        <v>738</v>
      </c>
      <c r="D5" s="7" t="s">
        <v>738</v>
      </c>
    </row>
    <row r="6" spans="1:4">
      <c r="A6" s="8" t="s">
        <v>130</v>
      </c>
      <c r="B6" s="9">
        <v>9</v>
      </c>
      <c r="C6" s="9" t="s">
        <v>738</v>
      </c>
      <c r="D6" s="10" t="s">
        <v>738</v>
      </c>
    </row>
    <row r="7" spans="1:4">
      <c r="A7" s="11" t="s">
        <v>105</v>
      </c>
      <c r="B7" s="12">
        <v>6</v>
      </c>
      <c r="C7" s="12" t="s">
        <v>738</v>
      </c>
      <c r="D7" s="13" t="s">
        <v>738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2" sqref="A2"/>
    </sheetView>
  </sheetViews>
  <sheetFormatPr defaultRowHeight="13.8"/>
  <cols>
    <col min="1" max="1" width="22" customWidth="1"/>
    <col min="2" max="3" width="16" customWidth="1"/>
  </cols>
  <sheetData>
    <row r="1" spans="1:3" ht="20.85" customHeight="1">
      <c r="A1" s="15" t="s">
        <v>739</v>
      </c>
      <c r="B1" s="15"/>
      <c r="C1" s="15"/>
    </row>
    <row r="2" spans="1:3" ht="30.45" customHeight="1">
      <c r="A2" s="21" t="s">
        <v>740</v>
      </c>
      <c r="B2" s="1"/>
      <c r="C2" s="1"/>
    </row>
    <row r="4" spans="1:3" ht="31.95" customHeight="1">
      <c r="A4" s="2" t="s">
        <v>453</v>
      </c>
      <c r="B4" s="3" t="s">
        <v>741</v>
      </c>
      <c r="C4" s="4" t="s">
        <v>742</v>
      </c>
    </row>
    <row r="5" spans="1:3">
      <c r="A5" s="5" t="s">
        <v>120</v>
      </c>
      <c r="B5" s="6" t="s">
        <v>743</v>
      </c>
      <c r="C5" s="7" t="s">
        <v>744</v>
      </c>
    </row>
    <row r="6" spans="1:3">
      <c r="A6" s="8" t="s">
        <v>130</v>
      </c>
      <c r="B6" s="9" t="s">
        <v>745</v>
      </c>
      <c r="C6" s="10" t="s">
        <v>746</v>
      </c>
    </row>
    <row r="7" spans="1:3">
      <c r="A7" s="11" t="s">
        <v>105</v>
      </c>
      <c r="B7" s="12" t="s">
        <v>747</v>
      </c>
      <c r="C7" s="13" t="s">
        <v>746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2" sqref="A2"/>
    </sheetView>
  </sheetViews>
  <sheetFormatPr defaultRowHeight="13.8"/>
  <cols>
    <col min="1" max="1" width="22" customWidth="1"/>
    <col min="2" max="4" width="16" customWidth="1"/>
  </cols>
  <sheetData>
    <row r="1" spans="1:4" ht="20.85" customHeight="1">
      <c r="A1" s="15" t="s">
        <v>748</v>
      </c>
      <c r="B1" s="15"/>
      <c r="C1" s="15"/>
      <c r="D1" s="15"/>
    </row>
    <row r="2" spans="1:4" ht="30.45" customHeight="1">
      <c r="A2" s="21" t="s">
        <v>749</v>
      </c>
      <c r="B2" s="1"/>
      <c r="C2" s="1"/>
      <c r="D2" s="1"/>
    </row>
    <row r="4" spans="1:4" ht="31.95" customHeight="1">
      <c r="A4" s="2" t="s">
        <v>453</v>
      </c>
      <c r="B4" s="3" t="s">
        <v>750</v>
      </c>
      <c r="C4" s="3" t="s">
        <v>751</v>
      </c>
      <c r="D4" s="4" t="s">
        <v>752</v>
      </c>
    </row>
    <row r="5" spans="1:4" ht="27.6">
      <c r="A5" s="5" t="s">
        <v>120</v>
      </c>
      <c r="B5" s="6" t="s">
        <v>753</v>
      </c>
      <c r="C5" s="6" t="s">
        <v>754</v>
      </c>
      <c r="D5" s="7">
        <v>1</v>
      </c>
    </row>
    <row r="6" spans="1:4" ht="27.6">
      <c r="A6" s="8" t="s">
        <v>120</v>
      </c>
      <c r="B6" s="9" t="s">
        <v>753</v>
      </c>
      <c r="C6" s="9" t="s">
        <v>755</v>
      </c>
      <c r="D6" s="10">
        <v>1</v>
      </c>
    </row>
    <row r="7" spans="1:4" ht="27.6">
      <c r="A7" s="8" t="s">
        <v>120</v>
      </c>
      <c r="B7" s="9" t="s">
        <v>753</v>
      </c>
      <c r="C7" s="9" t="s">
        <v>756</v>
      </c>
      <c r="D7" s="10">
        <v>1</v>
      </c>
    </row>
    <row r="8" spans="1:4">
      <c r="A8" s="8" t="s">
        <v>120</v>
      </c>
      <c r="B8" s="9" t="s">
        <v>757</v>
      </c>
      <c r="C8" s="9" t="s">
        <v>758</v>
      </c>
      <c r="D8" s="10">
        <v>1</v>
      </c>
    </row>
    <row r="9" spans="1:4" ht="27.6">
      <c r="A9" s="8" t="s">
        <v>130</v>
      </c>
      <c r="B9" s="9" t="s">
        <v>753</v>
      </c>
      <c r="C9" s="9" t="s">
        <v>756</v>
      </c>
      <c r="D9" s="10">
        <v>3</v>
      </c>
    </row>
    <row r="10" spans="1:4">
      <c r="A10" s="8" t="s">
        <v>130</v>
      </c>
      <c r="B10" s="9" t="s">
        <v>757</v>
      </c>
      <c r="C10" s="9" t="s">
        <v>759</v>
      </c>
      <c r="D10" s="10">
        <v>1</v>
      </c>
    </row>
    <row r="11" spans="1:4" ht="27.6">
      <c r="A11" s="8" t="s">
        <v>130</v>
      </c>
      <c r="B11" s="9" t="s">
        <v>760</v>
      </c>
      <c r="C11" s="9" t="s">
        <v>761</v>
      </c>
      <c r="D11" s="10">
        <v>1</v>
      </c>
    </row>
    <row r="12" spans="1:4" ht="27.6">
      <c r="A12" s="8" t="s">
        <v>105</v>
      </c>
      <c r="B12" s="9" t="s">
        <v>753</v>
      </c>
      <c r="C12" s="9" t="s">
        <v>762</v>
      </c>
      <c r="D12" s="10">
        <v>1</v>
      </c>
    </row>
    <row r="13" spans="1:4">
      <c r="A13" s="11" t="s">
        <v>105</v>
      </c>
      <c r="B13" s="12" t="s">
        <v>757</v>
      </c>
      <c r="C13" s="12" t="s">
        <v>763</v>
      </c>
      <c r="D13" s="13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2" sqref="A2"/>
    </sheetView>
  </sheetViews>
  <sheetFormatPr defaultRowHeight="13.8"/>
  <cols>
    <col min="1" max="1" width="22" customWidth="1"/>
    <col min="2" max="4" width="16" customWidth="1"/>
    <col min="5" max="5" width="46" customWidth="1"/>
    <col min="6" max="6" width="62" customWidth="1"/>
  </cols>
  <sheetData>
    <row r="1" spans="1:6" ht="20.85" customHeight="1">
      <c r="A1" s="15" t="s">
        <v>764</v>
      </c>
      <c r="B1" s="15"/>
      <c r="C1" s="15"/>
      <c r="D1" s="15"/>
      <c r="E1" s="15"/>
      <c r="F1" s="15"/>
    </row>
    <row r="2" spans="1:6" ht="30.45" customHeight="1">
      <c r="A2" s="21" t="s">
        <v>765</v>
      </c>
      <c r="B2" s="1"/>
      <c r="C2" s="1"/>
      <c r="D2" s="1"/>
      <c r="E2" s="1"/>
      <c r="F2" s="1"/>
    </row>
    <row r="4" spans="1:6" ht="31.95" customHeight="1">
      <c r="A4" s="2" t="s">
        <v>453</v>
      </c>
      <c r="B4" s="3" t="s">
        <v>735</v>
      </c>
      <c r="C4" s="3" t="s">
        <v>766</v>
      </c>
      <c r="D4" s="3" t="s">
        <v>741</v>
      </c>
      <c r="E4" s="3" t="s">
        <v>767</v>
      </c>
      <c r="F4" s="4" t="s">
        <v>768</v>
      </c>
    </row>
    <row r="5" spans="1:6" ht="27.6">
      <c r="A5" s="5" t="s">
        <v>120</v>
      </c>
      <c r="B5" s="6">
        <v>9</v>
      </c>
      <c r="C5" s="6" t="s">
        <v>738</v>
      </c>
      <c r="D5" s="6" t="s">
        <v>769</v>
      </c>
      <c r="E5" s="6" t="s">
        <v>770</v>
      </c>
      <c r="F5" s="7" t="s">
        <v>771</v>
      </c>
    </row>
    <row r="6" spans="1:6" ht="27.6">
      <c r="A6" s="8" t="s">
        <v>130</v>
      </c>
      <c r="B6" s="9">
        <v>9</v>
      </c>
      <c r="C6" s="9" t="s">
        <v>738</v>
      </c>
      <c r="D6" s="9" t="s">
        <v>772</v>
      </c>
      <c r="E6" s="9" t="s">
        <v>773</v>
      </c>
      <c r="F6" s="10" t="s">
        <v>771</v>
      </c>
    </row>
    <row r="7" spans="1:6" ht="27.6">
      <c r="A7" s="11" t="s">
        <v>105</v>
      </c>
      <c r="B7" s="12">
        <v>6</v>
      </c>
      <c r="C7" s="12" t="s">
        <v>738</v>
      </c>
      <c r="D7" s="12" t="s">
        <v>774</v>
      </c>
      <c r="E7" s="12" t="s">
        <v>775</v>
      </c>
      <c r="F7" s="13" t="s">
        <v>771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B5" sqref="B5"/>
    </sheetView>
  </sheetViews>
  <sheetFormatPr defaultRowHeight="13.8"/>
  <cols>
    <col min="1" max="1" width="22" customWidth="1"/>
    <col min="2" max="9" width="38" customWidth="1"/>
    <col min="10" max="10" width="62" customWidth="1"/>
  </cols>
  <sheetData>
    <row r="1" spans="1:10" ht="20.85" customHeight="1">
      <c r="A1" s="15" t="s">
        <v>776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.45" customHeight="1">
      <c r="A2" s="21" t="s">
        <v>1164</v>
      </c>
      <c r="B2" s="1"/>
      <c r="C2" s="1"/>
      <c r="D2" s="1"/>
      <c r="E2" s="1"/>
      <c r="F2" s="1"/>
      <c r="G2" s="1"/>
      <c r="H2" s="1"/>
      <c r="I2" s="1"/>
      <c r="J2" s="1"/>
    </row>
    <row r="4" spans="1:10" ht="31.95" customHeight="1">
      <c r="A4" s="2" t="s">
        <v>777</v>
      </c>
      <c r="B4" s="3" t="s">
        <v>546</v>
      </c>
      <c r="C4" s="3" t="s">
        <v>778</v>
      </c>
      <c r="D4" s="3" t="s">
        <v>779</v>
      </c>
      <c r="E4" s="3" t="s">
        <v>780</v>
      </c>
      <c r="F4" s="3" t="s">
        <v>781</v>
      </c>
      <c r="G4" s="3" t="s">
        <v>782</v>
      </c>
      <c r="H4" s="3" t="s">
        <v>783</v>
      </c>
      <c r="I4" s="3" t="s">
        <v>784</v>
      </c>
      <c r="J4" s="4" t="s">
        <v>785</v>
      </c>
    </row>
    <row r="5" spans="1:10" ht="27.6">
      <c r="A5" s="5" t="s">
        <v>503</v>
      </c>
      <c r="B5" s="6" t="s">
        <v>728</v>
      </c>
      <c r="C5" s="6" t="s">
        <v>786</v>
      </c>
      <c r="D5" s="6" t="s">
        <v>787</v>
      </c>
      <c r="E5" s="6" t="s">
        <v>788</v>
      </c>
      <c r="F5" s="6" t="s">
        <v>789</v>
      </c>
      <c r="G5" s="6" t="s">
        <v>790</v>
      </c>
      <c r="H5" s="6" t="s">
        <v>791</v>
      </c>
      <c r="I5" s="6" t="s">
        <v>792</v>
      </c>
      <c r="J5" s="7" t="s">
        <v>793</v>
      </c>
    </row>
    <row r="6" spans="1:10" ht="41.4">
      <c r="A6" s="8" t="s">
        <v>715</v>
      </c>
      <c r="B6" s="9" t="s">
        <v>718</v>
      </c>
      <c r="C6" s="9" t="s">
        <v>794</v>
      </c>
      <c r="D6" s="9" t="s">
        <v>795</v>
      </c>
      <c r="E6" s="9" t="s">
        <v>796</v>
      </c>
      <c r="F6" s="9" t="s">
        <v>797</v>
      </c>
      <c r="G6" s="9" t="s">
        <v>798</v>
      </c>
      <c r="H6" s="9" t="s">
        <v>799</v>
      </c>
      <c r="I6" s="9" t="s">
        <v>106</v>
      </c>
      <c r="J6" s="10" t="s">
        <v>800</v>
      </c>
    </row>
    <row r="7" spans="1:10" ht="41.4">
      <c r="A7" s="8" t="s">
        <v>483</v>
      </c>
      <c r="B7" s="9" t="s">
        <v>718</v>
      </c>
      <c r="C7" s="9" t="s">
        <v>801</v>
      </c>
      <c r="D7" s="9" t="s">
        <v>802</v>
      </c>
      <c r="E7" s="9" t="s">
        <v>803</v>
      </c>
      <c r="F7" s="9" t="s">
        <v>804</v>
      </c>
      <c r="G7" s="9" t="s">
        <v>805</v>
      </c>
      <c r="H7" s="9" t="s">
        <v>806</v>
      </c>
      <c r="I7" s="9" t="s">
        <v>106</v>
      </c>
      <c r="J7" s="10" t="s">
        <v>807</v>
      </c>
    </row>
    <row r="8" spans="1:10" ht="27.6">
      <c r="A8" s="8" t="s">
        <v>484</v>
      </c>
      <c r="B8" s="9" t="s">
        <v>720</v>
      </c>
      <c r="C8" s="9" t="s">
        <v>808</v>
      </c>
      <c r="D8" s="9" t="s">
        <v>809</v>
      </c>
      <c r="E8" s="9" t="s">
        <v>810</v>
      </c>
      <c r="F8" s="9" t="s">
        <v>811</v>
      </c>
      <c r="G8" s="9" t="s">
        <v>812</v>
      </c>
      <c r="H8" s="9" t="s">
        <v>813</v>
      </c>
      <c r="I8" s="9" t="s">
        <v>106</v>
      </c>
      <c r="J8" s="10" t="s">
        <v>814</v>
      </c>
    </row>
    <row r="9" spans="1:10" ht="41.4">
      <c r="A9" s="8" t="s">
        <v>488</v>
      </c>
      <c r="B9" s="9" t="s">
        <v>718</v>
      </c>
      <c r="C9" s="9" t="s">
        <v>815</v>
      </c>
      <c r="D9" s="9" t="s">
        <v>816</v>
      </c>
      <c r="E9" s="9" t="s">
        <v>796</v>
      </c>
      <c r="F9" s="9" t="s">
        <v>817</v>
      </c>
      <c r="G9" s="9" t="s">
        <v>818</v>
      </c>
      <c r="H9" s="9" t="s">
        <v>819</v>
      </c>
      <c r="I9" s="9" t="s">
        <v>106</v>
      </c>
      <c r="J9" s="10" t="s">
        <v>820</v>
      </c>
    </row>
    <row r="10" spans="1:10" ht="27.6">
      <c r="A10" s="8" t="s">
        <v>721</v>
      </c>
      <c r="B10" s="9" t="s">
        <v>821</v>
      </c>
      <c r="C10" s="9" t="s">
        <v>822</v>
      </c>
      <c r="D10" s="9" t="s">
        <v>823</v>
      </c>
      <c r="E10" s="9" t="s">
        <v>824</v>
      </c>
      <c r="F10" s="9" t="s">
        <v>825</v>
      </c>
      <c r="G10" s="9" t="s">
        <v>826</v>
      </c>
      <c r="H10" s="9" t="s">
        <v>827</v>
      </c>
      <c r="I10" s="9" t="s">
        <v>106</v>
      </c>
      <c r="J10" s="10" t="s">
        <v>828</v>
      </c>
    </row>
    <row r="11" spans="1:10" ht="27.6">
      <c r="A11" s="11" t="s">
        <v>723</v>
      </c>
      <c r="B11" s="12" t="s">
        <v>821</v>
      </c>
      <c r="C11" s="12" t="s">
        <v>829</v>
      </c>
      <c r="D11" s="12" t="s">
        <v>830</v>
      </c>
      <c r="E11" s="12" t="s">
        <v>824</v>
      </c>
      <c r="F11" s="12" t="s">
        <v>831</v>
      </c>
      <c r="G11" s="12" t="s">
        <v>832</v>
      </c>
      <c r="H11" s="12" t="s">
        <v>827</v>
      </c>
      <c r="I11" s="12" t="s">
        <v>106</v>
      </c>
      <c r="J11" s="13" t="s">
        <v>828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A2" sqref="A2"/>
    </sheetView>
  </sheetViews>
  <sheetFormatPr defaultRowHeight="13.8"/>
  <cols>
    <col min="1" max="1" width="22" customWidth="1"/>
    <col min="2" max="8" width="16" customWidth="1"/>
    <col min="9" max="9" width="72" customWidth="1"/>
    <col min="10" max="10" width="16" customWidth="1"/>
  </cols>
  <sheetData>
    <row r="1" spans="1:10" ht="20.85" customHeight="1">
      <c r="A1" s="15" t="s">
        <v>833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.45" customHeight="1">
      <c r="A2" s="21" t="s">
        <v>834</v>
      </c>
      <c r="B2" s="1"/>
      <c r="C2" s="1"/>
      <c r="D2" s="1"/>
      <c r="E2" s="1"/>
      <c r="F2" s="1"/>
      <c r="G2" s="1"/>
      <c r="H2" s="1"/>
      <c r="I2" s="1"/>
      <c r="J2" s="1"/>
    </row>
    <row r="4" spans="1:10" ht="31.95" customHeight="1">
      <c r="A4" s="2" t="s">
        <v>835</v>
      </c>
      <c r="B4" s="3" t="s">
        <v>836</v>
      </c>
      <c r="C4" s="3" t="s">
        <v>837</v>
      </c>
      <c r="D4" s="3" t="s">
        <v>838</v>
      </c>
      <c r="E4" s="3" t="s">
        <v>839</v>
      </c>
      <c r="F4" s="3" t="s">
        <v>840</v>
      </c>
      <c r="G4" s="3" t="s">
        <v>841</v>
      </c>
      <c r="H4" s="3" t="s">
        <v>842</v>
      </c>
      <c r="I4" s="3" t="s">
        <v>843</v>
      </c>
      <c r="J4" s="4" t="s">
        <v>844</v>
      </c>
    </row>
    <row r="5" spans="1:10" ht="41.4">
      <c r="A5" s="5" t="s">
        <v>845</v>
      </c>
      <c r="B5" s="6" t="s">
        <v>846</v>
      </c>
      <c r="C5" s="6" t="s">
        <v>847</v>
      </c>
      <c r="D5" s="6" t="s">
        <v>848</v>
      </c>
      <c r="E5" s="6" t="s">
        <v>849</v>
      </c>
      <c r="F5" s="6">
        <v>12.0164835164835</v>
      </c>
      <c r="G5" s="6">
        <v>3.11168595236595E-5</v>
      </c>
      <c r="H5" s="6">
        <v>6</v>
      </c>
      <c r="I5" s="6" t="s">
        <v>850</v>
      </c>
      <c r="J5" s="7" t="s">
        <v>851</v>
      </c>
    </row>
    <row r="6" spans="1:10" ht="27.6">
      <c r="A6" s="8" t="s">
        <v>852</v>
      </c>
      <c r="B6" s="9" t="s">
        <v>853</v>
      </c>
      <c r="C6" s="9" t="s">
        <v>854</v>
      </c>
      <c r="D6" s="9" t="s">
        <v>848</v>
      </c>
      <c r="E6" s="9" t="s">
        <v>855</v>
      </c>
      <c r="F6" s="9">
        <v>11.2153846153846</v>
      </c>
      <c r="G6" s="9">
        <v>3.11168595236595E-5</v>
      </c>
      <c r="H6" s="9">
        <v>6</v>
      </c>
      <c r="I6" s="9" t="s">
        <v>850</v>
      </c>
      <c r="J6" s="10" t="s">
        <v>851</v>
      </c>
    </row>
    <row r="7" spans="1:10" ht="27.6">
      <c r="A7" s="11" t="s">
        <v>856</v>
      </c>
      <c r="B7" s="12" t="s">
        <v>857</v>
      </c>
      <c r="C7" s="12" t="s">
        <v>858</v>
      </c>
      <c r="D7" s="12" t="s">
        <v>859</v>
      </c>
      <c r="E7" s="12" t="s">
        <v>860</v>
      </c>
      <c r="F7" s="12">
        <v>10.1958041958042</v>
      </c>
      <c r="G7" s="12">
        <v>1.03644876217796E-2</v>
      </c>
      <c r="H7" s="12">
        <v>3</v>
      </c>
      <c r="I7" s="12" t="s">
        <v>861</v>
      </c>
      <c r="J7" s="13" t="s">
        <v>851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A2" sqref="A2"/>
    </sheetView>
  </sheetViews>
  <sheetFormatPr defaultRowHeight="13.8"/>
  <cols>
    <col min="1" max="1" width="22" customWidth="1"/>
    <col min="2" max="3" width="16" customWidth="1"/>
  </cols>
  <sheetData>
    <row r="1" spans="1:3" ht="20.85" customHeight="1">
      <c r="A1" s="15" t="s">
        <v>862</v>
      </c>
      <c r="B1" s="15"/>
      <c r="C1" s="15"/>
    </row>
    <row r="2" spans="1:3" ht="30.45" customHeight="1">
      <c r="A2" s="21" t="s">
        <v>863</v>
      </c>
      <c r="B2" s="1"/>
      <c r="C2" s="1"/>
    </row>
    <row r="4" spans="1:3" ht="31.95" customHeight="1">
      <c r="A4" s="2" t="s">
        <v>835</v>
      </c>
      <c r="B4" s="3" t="s">
        <v>837</v>
      </c>
      <c r="C4" s="4" t="s">
        <v>864</v>
      </c>
    </row>
    <row r="5" spans="1:3" ht="41.4">
      <c r="A5" s="5" t="s">
        <v>845</v>
      </c>
      <c r="B5" s="6" t="s">
        <v>847</v>
      </c>
      <c r="C5" s="7" t="s">
        <v>865</v>
      </c>
    </row>
    <row r="6" spans="1:3" ht="41.4">
      <c r="A6" s="8" t="s">
        <v>845</v>
      </c>
      <c r="B6" s="9" t="s">
        <v>847</v>
      </c>
      <c r="C6" s="10" t="s">
        <v>866</v>
      </c>
    </row>
    <row r="7" spans="1:3" ht="41.4">
      <c r="A7" s="8" t="s">
        <v>845</v>
      </c>
      <c r="B7" s="9" t="s">
        <v>847</v>
      </c>
      <c r="C7" s="10" t="s">
        <v>867</v>
      </c>
    </row>
    <row r="8" spans="1:3" ht="41.4">
      <c r="A8" s="8" t="s">
        <v>845</v>
      </c>
      <c r="B8" s="9" t="s">
        <v>847</v>
      </c>
      <c r="C8" s="10" t="s">
        <v>868</v>
      </c>
    </row>
    <row r="9" spans="1:3" ht="41.4">
      <c r="A9" s="8" t="s">
        <v>845</v>
      </c>
      <c r="B9" s="9" t="s">
        <v>847</v>
      </c>
      <c r="C9" s="10" t="s">
        <v>869</v>
      </c>
    </row>
    <row r="10" spans="1:3" ht="41.4">
      <c r="A10" s="8" t="s">
        <v>845</v>
      </c>
      <c r="B10" s="9" t="s">
        <v>847</v>
      </c>
      <c r="C10" s="10" t="s">
        <v>870</v>
      </c>
    </row>
    <row r="11" spans="1:3" ht="27.6">
      <c r="A11" s="8" t="s">
        <v>852</v>
      </c>
      <c r="B11" s="9" t="s">
        <v>854</v>
      </c>
      <c r="C11" s="10" t="s">
        <v>865</v>
      </c>
    </row>
    <row r="12" spans="1:3" ht="27.6">
      <c r="A12" s="8" t="s">
        <v>852</v>
      </c>
      <c r="B12" s="9" t="s">
        <v>854</v>
      </c>
      <c r="C12" s="10" t="s">
        <v>866</v>
      </c>
    </row>
    <row r="13" spans="1:3" ht="27.6">
      <c r="A13" s="8" t="s">
        <v>852</v>
      </c>
      <c r="B13" s="9" t="s">
        <v>854</v>
      </c>
      <c r="C13" s="10" t="s">
        <v>867</v>
      </c>
    </row>
    <row r="14" spans="1:3" ht="27.6">
      <c r="A14" s="8" t="s">
        <v>852</v>
      </c>
      <c r="B14" s="9" t="s">
        <v>854</v>
      </c>
      <c r="C14" s="10" t="s">
        <v>868</v>
      </c>
    </row>
    <row r="15" spans="1:3" ht="27.6">
      <c r="A15" s="8" t="s">
        <v>852</v>
      </c>
      <c r="B15" s="9" t="s">
        <v>854</v>
      </c>
      <c r="C15" s="10" t="s">
        <v>869</v>
      </c>
    </row>
    <row r="16" spans="1:3" ht="27.6">
      <c r="A16" s="8" t="s">
        <v>852</v>
      </c>
      <c r="B16" s="9" t="s">
        <v>854</v>
      </c>
      <c r="C16" s="10" t="s">
        <v>870</v>
      </c>
    </row>
    <row r="17" spans="1:3" ht="27.6">
      <c r="A17" s="8" t="s">
        <v>856</v>
      </c>
      <c r="B17" s="9" t="s">
        <v>858</v>
      </c>
      <c r="C17" s="10" t="s">
        <v>867</v>
      </c>
    </row>
    <row r="18" spans="1:3" ht="27.6">
      <c r="A18" s="8" t="s">
        <v>856</v>
      </c>
      <c r="B18" s="9" t="s">
        <v>858</v>
      </c>
      <c r="C18" s="10" t="s">
        <v>868</v>
      </c>
    </row>
    <row r="19" spans="1:3" ht="27.6">
      <c r="A19" s="11" t="s">
        <v>856</v>
      </c>
      <c r="B19" s="12" t="s">
        <v>858</v>
      </c>
      <c r="C19" s="13" t="s">
        <v>869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2" sqref="A2"/>
    </sheetView>
  </sheetViews>
  <sheetFormatPr defaultRowHeight="13.8"/>
  <cols>
    <col min="1" max="1" width="22" customWidth="1"/>
    <col min="2" max="9" width="46" customWidth="1"/>
    <col min="10" max="10" width="82" customWidth="1"/>
  </cols>
  <sheetData>
    <row r="1" spans="1:10" ht="20.85" customHeight="1">
      <c r="A1" s="15" t="s">
        <v>871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.45" customHeight="1">
      <c r="A2" s="21" t="s">
        <v>872</v>
      </c>
      <c r="B2" s="1"/>
      <c r="C2" s="1"/>
      <c r="D2" s="1"/>
      <c r="E2" s="1"/>
      <c r="F2" s="1"/>
      <c r="G2" s="1"/>
      <c r="H2" s="1"/>
      <c r="I2" s="1"/>
      <c r="J2" s="1"/>
    </row>
    <row r="4" spans="1:10" ht="31.95" customHeight="1">
      <c r="A4" s="2" t="s">
        <v>777</v>
      </c>
      <c r="B4" s="3" t="s">
        <v>873</v>
      </c>
      <c r="C4" s="3" t="s">
        <v>874</v>
      </c>
      <c r="D4" s="3" t="s">
        <v>875</v>
      </c>
      <c r="E4" s="3" t="s">
        <v>876</v>
      </c>
      <c r="F4" s="3" t="s">
        <v>780</v>
      </c>
      <c r="G4" s="3" t="s">
        <v>877</v>
      </c>
      <c r="H4" s="3" t="s">
        <v>878</v>
      </c>
      <c r="I4" s="3" t="s">
        <v>879</v>
      </c>
      <c r="J4" s="4" t="s">
        <v>768</v>
      </c>
    </row>
    <row r="5" spans="1:10" ht="82.8">
      <c r="A5" s="5" t="s">
        <v>503</v>
      </c>
      <c r="B5" s="6" t="s">
        <v>880</v>
      </c>
      <c r="C5" s="6" t="s">
        <v>881</v>
      </c>
      <c r="D5" s="6" t="s">
        <v>882</v>
      </c>
      <c r="E5" s="6" t="s">
        <v>787</v>
      </c>
      <c r="F5" s="6" t="s">
        <v>788</v>
      </c>
      <c r="G5" s="6" t="s">
        <v>883</v>
      </c>
      <c r="H5" s="6" t="s">
        <v>884</v>
      </c>
      <c r="I5" s="6" t="s">
        <v>885</v>
      </c>
      <c r="J5" s="7" t="s">
        <v>886</v>
      </c>
    </row>
    <row r="6" spans="1:10" ht="41.4">
      <c r="A6" s="8" t="s">
        <v>715</v>
      </c>
      <c r="B6" s="9" t="s">
        <v>887</v>
      </c>
      <c r="C6" s="9" t="s">
        <v>888</v>
      </c>
      <c r="D6" s="9" t="s">
        <v>889</v>
      </c>
      <c r="E6" s="9" t="s">
        <v>795</v>
      </c>
      <c r="F6" s="9" t="s">
        <v>890</v>
      </c>
      <c r="G6" s="9" t="s">
        <v>891</v>
      </c>
      <c r="H6" s="9" t="s">
        <v>884</v>
      </c>
      <c r="I6" s="9" t="s">
        <v>892</v>
      </c>
      <c r="J6" s="10" t="s">
        <v>893</v>
      </c>
    </row>
    <row r="7" spans="1:10" ht="41.4">
      <c r="A7" s="8" t="s">
        <v>483</v>
      </c>
      <c r="B7" s="9" t="s">
        <v>894</v>
      </c>
      <c r="C7" s="9" t="s">
        <v>888</v>
      </c>
      <c r="D7" s="9" t="s">
        <v>895</v>
      </c>
      <c r="E7" s="9" t="s">
        <v>802</v>
      </c>
      <c r="F7" s="9" t="s">
        <v>803</v>
      </c>
      <c r="G7" s="9" t="s">
        <v>891</v>
      </c>
      <c r="H7" s="9" t="s">
        <v>884</v>
      </c>
      <c r="I7" s="9" t="s">
        <v>892</v>
      </c>
      <c r="J7" s="10" t="s">
        <v>896</v>
      </c>
    </row>
    <row r="8" spans="1:10" ht="96.6">
      <c r="A8" s="8" t="s">
        <v>484</v>
      </c>
      <c r="B8" s="9" t="s">
        <v>897</v>
      </c>
      <c r="C8" s="9" t="s">
        <v>888</v>
      </c>
      <c r="D8" s="9" t="s">
        <v>895</v>
      </c>
      <c r="E8" s="9" t="s">
        <v>809</v>
      </c>
      <c r="F8" s="9" t="s">
        <v>810</v>
      </c>
      <c r="G8" s="9" t="s">
        <v>891</v>
      </c>
      <c r="H8" s="9" t="s">
        <v>884</v>
      </c>
      <c r="I8" s="9" t="s">
        <v>892</v>
      </c>
      <c r="J8" s="10" t="s">
        <v>898</v>
      </c>
    </row>
    <row r="9" spans="1:10" ht="41.4">
      <c r="A9" s="8" t="s">
        <v>488</v>
      </c>
      <c r="B9" s="9" t="s">
        <v>899</v>
      </c>
      <c r="C9" s="9" t="s">
        <v>900</v>
      </c>
      <c r="D9" s="9" t="s">
        <v>895</v>
      </c>
      <c r="E9" s="9" t="s">
        <v>816</v>
      </c>
      <c r="F9" s="9" t="s">
        <v>890</v>
      </c>
      <c r="G9" s="9" t="s">
        <v>901</v>
      </c>
      <c r="H9" s="9" t="s">
        <v>884</v>
      </c>
      <c r="I9" s="9" t="s">
        <v>892</v>
      </c>
      <c r="J9" s="10" t="s">
        <v>902</v>
      </c>
    </row>
    <row r="10" spans="1:10" ht="41.4">
      <c r="A10" s="8" t="s">
        <v>721</v>
      </c>
      <c r="B10" s="9" t="s">
        <v>903</v>
      </c>
      <c r="C10" s="9" t="s">
        <v>888</v>
      </c>
      <c r="D10" s="9" t="s">
        <v>895</v>
      </c>
      <c r="E10" s="9" t="s">
        <v>823</v>
      </c>
      <c r="F10" s="9" t="s">
        <v>824</v>
      </c>
      <c r="G10" s="9" t="s">
        <v>904</v>
      </c>
      <c r="H10" s="9" t="s">
        <v>884</v>
      </c>
      <c r="I10" s="9" t="s">
        <v>905</v>
      </c>
      <c r="J10" s="10" t="s">
        <v>906</v>
      </c>
    </row>
    <row r="11" spans="1:10" ht="55.2">
      <c r="A11" s="11" t="s">
        <v>723</v>
      </c>
      <c r="B11" s="12" t="s">
        <v>907</v>
      </c>
      <c r="C11" s="12" t="s">
        <v>888</v>
      </c>
      <c r="D11" s="12" t="s">
        <v>895</v>
      </c>
      <c r="E11" s="12" t="s">
        <v>830</v>
      </c>
      <c r="F11" s="12" t="s">
        <v>824</v>
      </c>
      <c r="G11" s="12" t="s">
        <v>904</v>
      </c>
      <c r="H11" s="12" t="s">
        <v>884</v>
      </c>
      <c r="I11" s="12" t="s">
        <v>905</v>
      </c>
      <c r="J11" s="13" t="s">
        <v>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Supplementary_Index</vt:lpstr>
      <vt:lpstr>S1A_Genomic_Metadata</vt:lpstr>
      <vt:lpstr>S1B_RNAseq_Metadata</vt:lpstr>
      <vt:lpstr>S2_QUAST_Statistics</vt:lpstr>
      <vt:lpstr>S3A_AMR_Gene_Prevalence</vt:lpstr>
      <vt:lpstr>S3B_Category_Frequencies</vt:lpstr>
      <vt:lpstr>S4A_GSE40864</vt:lpstr>
      <vt:lpstr>S4B_GSE121797</vt:lpstr>
      <vt:lpstr>S4C_PRJNA1358579</vt:lpstr>
      <vt:lpstr>S5A_AMR_Presence_Absence</vt:lpstr>
      <vt:lpstr>S5B_AMR_Pangenome</vt:lpstr>
      <vt:lpstr>S6A_IslandViewer</vt:lpstr>
      <vt:lpstr>S6B_SCCmecFinder</vt:lpstr>
      <vt:lpstr>S6C_MobileElementFinder</vt:lpstr>
      <vt:lpstr>S6D_Combined_Context</vt:lpstr>
      <vt:lpstr>S7_InterPro_Summary</vt:lpstr>
      <vt:lpstr>S8A_GO_Enrichment</vt:lpstr>
      <vt:lpstr>S8B_Enriched_Gene_Mapping</vt:lpstr>
      <vt:lpstr>S9_Integrated_AMR_Evidence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2026-07-28T11:40:41Z</dcterms:modified>
</cp:coreProperties>
</file>